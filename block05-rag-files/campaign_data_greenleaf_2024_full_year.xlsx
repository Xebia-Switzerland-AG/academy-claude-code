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 2024" sheetId="1" state="visible" r:id="rId1"/>
    <sheet xmlns:r="http://schemas.openxmlformats.org/officeDocument/2006/relationships" name="Channel Monthly 2024" sheetId="2" state="visible" r:id="rId2"/>
    <sheet xmlns:r="http://schemas.openxmlformats.org/officeDocument/2006/relationships" name="Subscription Cohort Analysis 2024" sheetId="3" state="visible" r:id="rId3"/>
    <sheet xmlns:r="http://schemas.openxmlformats.org/officeDocument/2006/relationships" name="Creative Performance Log" sheetId="4" state="visible" r:id="rId4"/>
    <sheet xmlns:r="http://schemas.openxmlformats.org/officeDocument/2006/relationships" name="Product &amp; SKU Performance" sheetId="5" state="visible" r:id="rId5"/>
    <sheet xmlns:r="http://schemas.openxmlformats.org/officeDocument/2006/relationships" name="Audience &amp; Persona Analysis" sheetId="6" state="visible" r:id="rId6"/>
    <sheet xmlns:r="http://schemas.openxmlformats.org/officeDocument/2006/relationships" name="Competitor &amp; Market Tracking" sheetId="7" state="visible" r:id="rId7"/>
    <sheet xmlns:r="http://schemas.openxmlformats.org/officeDocument/2006/relationships" name="Monthly Executi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831B84"/>
        <bgColor rgb="00831B84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righ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Week #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Season</t>
        </is>
      </c>
      <c r="G1" s="1" t="inlineStr">
        <is>
          <t>Campaign_Phase</t>
        </is>
      </c>
      <c r="H1" s="1" t="inlineStr">
        <is>
          <t>Total Spend (CHF)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CTR (%)</t>
        </is>
      </c>
      <c r="L1" s="1" t="inlineStr">
        <is>
          <t>New Subscriptions</t>
        </is>
      </c>
      <c r="M1" s="1" t="inlineStr">
        <is>
          <t>Returning Orders</t>
        </is>
      </c>
      <c r="N1" s="1" t="inlineStr">
        <is>
          <t>Total Conversions</t>
        </is>
      </c>
      <c r="O1" s="1" t="inlineStr">
        <is>
          <t>CVR (%)</t>
        </is>
      </c>
      <c r="P1" s="1" t="inlineStr">
        <is>
          <t>Revenue (CHF)</t>
        </is>
      </c>
      <c r="Q1" s="1" t="inlineStr">
        <is>
          <t>ROAS</t>
        </is>
      </c>
      <c r="R1" s="1" t="inlineStr">
        <is>
          <t>CPA (CHF)</t>
        </is>
      </c>
      <c r="S1" s="1" t="inlineStr">
        <is>
          <t>Subscription Box Type</t>
        </is>
      </c>
      <c r="T1" s="1" t="inlineStr">
        <is>
          <t>Email Sends</t>
        </is>
      </c>
      <c r="U1" s="1" t="inlineStr">
        <is>
          <t>Organic Sessions</t>
        </is>
      </c>
      <c r="V1" s="1" t="inlineStr">
        <is>
          <t>TikTok Views</t>
        </is>
      </c>
      <c r="W1" s="1" t="inlineStr">
        <is>
          <t>Notes</t>
        </is>
      </c>
    </row>
    <row r="2">
      <c r="A2" s="2" t="inlineStr">
        <is>
          <t>2024-01-01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Winter</t>
        </is>
      </c>
      <c r="G2" s="2" t="inlineStr">
        <is>
          <t>Post-Holiday</t>
        </is>
      </c>
      <c r="H2" s="3">
        <f>1686.30</f>
        <v/>
      </c>
      <c r="I2" s="3" t="n">
        <v>14911</v>
      </c>
      <c r="J2" s="3" t="n">
        <v>716</v>
      </c>
      <c r="K2" s="3">
        <f>ROUND(C2/I2*100,2)</f>
        <v/>
      </c>
      <c r="L2" s="3" t="n">
        <v>79</v>
      </c>
      <c r="M2" s="3" t="n">
        <v>19</v>
      </c>
      <c r="N2" s="3" t="n">
        <v>98</v>
      </c>
      <c r="O2" s="3">
        <f>ROUND(N2/J2*100,2)</f>
        <v/>
      </c>
      <c r="P2" s="3">
        <f>6343.99</f>
        <v/>
      </c>
      <c r="Q2" s="3">
        <f>ROUND(P2/H2,2)</f>
        <v/>
      </c>
      <c r="R2" s="3">
        <f>IF(K2&gt;0,ROUND(H2/K2,2),999)</f>
        <v/>
      </c>
      <c r="S2" s="3" t="inlineStr">
        <is>
          <t>Snack Box</t>
        </is>
      </c>
      <c r="T2" s="3" t="n">
        <v>423</v>
      </c>
      <c r="U2" s="3" t="n">
        <v>168</v>
      </c>
      <c r="V2" s="3" t="n">
        <v>5435</v>
      </c>
      <c r="W2" s="2" t="inlineStr">
        <is>
          <t>Subscription retention improving month-over-month.</t>
        </is>
      </c>
    </row>
    <row r="3">
      <c r="A3" s="4" t="inlineStr">
        <is>
          <t>2024-01-02</t>
        </is>
      </c>
      <c r="B3" s="4" t="inlineStr">
        <is>
          <t>Tuesday</t>
        </is>
      </c>
      <c r="C3" s="4" t="n">
        <v>1</v>
      </c>
      <c r="D3" s="4" t="n">
        <v>1</v>
      </c>
      <c r="E3" s="4" t="n">
        <v>1</v>
      </c>
      <c r="F3" s="4" t="inlineStr">
        <is>
          <t>Winter</t>
        </is>
      </c>
      <c r="G3" s="4" t="inlineStr">
        <is>
          <t>Launch</t>
        </is>
      </c>
      <c r="H3" s="5">
        <f>1577.62</f>
        <v/>
      </c>
      <c r="I3" s="5" t="n">
        <v>23522</v>
      </c>
      <c r="J3" s="5" t="n">
        <v>1466</v>
      </c>
      <c r="K3" s="5">
        <f>ROUND(C3/I3*100,2)</f>
        <v/>
      </c>
      <c r="L3" s="5" t="n">
        <v>125</v>
      </c>
      <c r="M3" s="5" t="n">
        <v>85</v>
      </c>
      <c r="N3" s="5" t="n">
        <v>210</v>
      </c>
      <c r="O3" s="5">
        <f>ROUND(N3/J3*100,2)</f>
        <v/>
      </c>
      <c r="P3" s="5">
        <f>9491.19</f>
        <v/>
      </c>
      <c r="Q3" s="5">
        <f>ROUND(P3/H3,2)</f>
        <v/>
      </c>
      <c r="R3" s="5">
        <f>IF(K3&gt;0,ROUND(H3/K3,2),999)</f>
        <v/>
      </c>
      <c r="S3" s="5" t="inlineStr">
        <is>
          <t>Pantry</t>
        </is>
      </c>
      <c r="T3" s="5" t="n">
        <v>815</v>
      </c>
      <c r="U3" s="5" t="n">
        <v>118</v>
      </c>
      <c r="V3" s="5" t="n">
        <v>7365</v>
      </c>
      <c r="W3" s="4" t="inlineStr">
        <is>
          <t>High-intent keyword performance exceeding benchmarks.</t>
        </is>
      </c>
    </row>
    <row r="4">
      <c r="A4" s="2" t="inlineStr">
        <is>
          <t>2024-01-03</t>
        </is>
      </c>
      <c r="B4" s="2" t="inlineStr">
        <is>
          <t>Wednesday</t>
        </is>
      </c>
      <c r="C4" s="2" t="n">
        <v>1</v>
      </c>
      <c r="D4" s="2" t="n">
        <v>1</v>
      </c>
      <c r="E4" s="2" t="n">
        <v>1</v>
      </c>
      <c r="F4" s="2" t="inlineStr">
        <is>
          <t>Winter</t>
        </is>
      </c>
      <c r="G4" s="2" t="inlineStr">
        <is>
          <t>Launch</t>
        </is>
      </c>
      <c r="H4" s="3">
        <f>1509.66</f>
        <v/>
      </c>
      <c r="I4" s="3" t="n">
        <v>14284</v>
      </c>
      <c r="J4" s="3" t="n">
        <v>900</v>
      </c>
      <c r="K4" s="3">
        <f>ROUND(C4/I4*100,2)</f>
        <v/>
      </c>
      <c r="L4" s="3" t="n">
        <v>48</v>
      </c>
      <c r="M4" s="3" t="n">
        <v>27</v>
      </c>
      <c r="N4" s="3" t="n">
        <v>75</v>
      </c>
      <c r="O4" s="3">
        <f>ROUND(N4/J4*100,2)</f>
        <v/>
      </c>
      <c r="P4" s="3">
        <f>3629.44</f>
        <v/>
      </c>
      <c r="Q4" s="3">
        <f>ROUND(P4/H4,2)</f>
        <v/>
      </c>
      <c r="R4" s="3">
        <f>IF(K4&gt;0,ROUND(H4/K4,2),999)</f>
        <v/>
      </c>
      <c r="S4" s="3" t="inlineStr">
        <is>
          <t>Snack Box</t>
        </is>
      </c>
      <c r="T4" s="3" t="n">
        <v>400</v>
      </c>
      <c r="U4" s="3" t="n">
        <v>99</v>
      </c>
      <c r="V4" s="3" t="n">
        <v>1537</v>
      </c>
      <c r="W4" s="2" t="inlineStr">
        <is>
          <t>Meta lookalike audience expansion successful.</t>
        </is>
      </c>
    </row>
    <row r="5">
      <c r="A5" s="4" t="inlineStr">
        <is>
          <t>2024-01-04</t>
        </is>
      </c>
      <c r="B5" s="4" t="inlineStr">
        <is>
          <t>Thursday</t>
        </is>
      </c>
      <c r="C5" s="4" t="n">
        <v>1</v>
      </c>
      <c r="D5" s="4" t="n">
        <v>1</v>
      </c>
      <c r="E5" s="4" t="n">
        <v>1</v>
      </c>
      <c r="F5" s="4" t="inlineStr">
        <is>
          <t>Winter</t>
        </is>
      </c>
      <c r="G5" s="4" t="inlineStr">
        <is>
          <t>Launch</t>
        </is>
      </c>
      <c r="H5" s="5">
        <f>1610.65</f>
        <v/>
      </c>
      <c r="I5" s="5" t="n">
        <v>22369</v>
      </c>
      <c r="J5" s="5" t="n">
        <v>996</v>
      </c>
      <c r="K5" s="5">
        <f>ROUND(C5/I5*100,2)</f>
        <v/>
      </c>
      <c r="L5" s="5" t="n">
        <v>67</v>
      </c>
      <c r="M5" s="5" t="n">
        <v>57</v>
      </c>
      <c r="N5" s="5" t="n">
        <v>124</v>
      </c>
      <c r="O5" s="5">
        <f>ROUND(N5/J5*100,2)</f>
        <v/>
      </c>
      <c r="P5" s="5">
        <f>6846.17</f>
        <v/>
      </c>
      <c r="Q5" s="5">
        <f>ROUND(P5/H5,2)</f>
        <v/>
      </c>
      <c r="R5" s="5">
        <f>IF(K5&gt;0,ROUND(H5/K5,2),999)</f>
        <v/>
      </c>
      <c r="S5" s="5" t="inlineStr">
        <is>
          <t>Pantry</t>
        </is>
      </c>
      <c r="T5" s="5" t="n">
        <v>408</v>
      </c>
      <c r="U5" s="5" t="n">
        <v>112</v>
      </c>
      <c r="V5" s="5" t="n">
        <v>7247</v>
      </c>
      <c r="W5" s="4" t="inlineStr">
        <is>
          <t>Weekend dip in conversions, organic traffic remains steady.</t>
        </is>
      </c>
    </row>
    <row r="6">
      <c r="A6" s="2" t="inlineStr">
        <is>
          <t>2024-01-05</t>
        </is>
      </c>
      <c r="B6" s="2" t="inlineStr">
        <is>
          <t>Friday</t>
        </is>
      </c>
      <c r="C6" s="2" t="n">
        <v>1</v>
      </c>
      <c r="D6" s="2" t="n">
        <v>1</v>
      </c>
      <c r="E6" s="2" t="n">
        <v>1</v>
      </c>
      <c r="F6" s="2" t="inlineStr">
        <is>
          <t>Winter</t>
        </is>
      </c>
      <c r="G6" s="2" t="inlineStr">
        <is>
          <t>Launch</t>
        </is>
      </c>
      <c r="H6" s="3">
        <f>1380.43</f>
        <v/>
      </c>
      <c r="I6" s="3" t="n">
        <v>11526</v>
      </c>
      <c r="J6" s="3" t="n">
        <v>620</v>
      </c>
      <c r="K6" s="3">
        <f>ROUND(C6/I6*100,2)</f>
        <v/>
      </c>
      <c r="L6" s="3" t="n">
        <v>69</v>
      </c>
      <c r="M6" s="3" t="n">
        <v>28</v>
      </c>
      <c r="N6" s="3" t="n">
        <v>97</v>
      </c>
      <c r="O6" s="3">
        <f>ROUND(N6/J6*100,2)</f>
        <v/>
      </c>
      <c r="P6" s="3">
        <f>6251.24</f>
        <v/>
      </c>
      <c r="Q6" s="3">
        <f>ROUND(P6/H6,2)</f>
        <v/>
      </c>
      <c r="R6" s="3">
        <f>IF(K6&gt;0,ROUND(H6/K6,2),999)</f>
        <v/>
      </c>
      <c r="S6" s="3" t="inlineStr">
        <is>
          <t>Snack Box</t>
        </is>
      </c>
      <c r="T6" s="3" t="n">
        <v>474</v>
      </c>
      <c r="U6" s="3" t="n">
        <v>95</v>
      </c>
      <c r="V6" s="3" t="n">
        <v>1769</v>
      </c>
      <c r="W6" s="2" t="inlineStr">
        <is>
          <t>Mobile conversion rate optimization showing 12% improvement.</t>
        </is>
      </c>
    </row>
    <row r="7">
      <c r="A7" s="4" t="inlineStr">
        <is>
          <t>2024-01-06</t>
        </is>
      </c>
      <c r="B7" s="4" t="inlineStr">
        <is>
          <t>Saturday</t>
        </is>
      </c>
      <c r="C7" s="4" t="n">
        <v>1</v>
      </c>
      <c r="D7" s="4" t="n">
        <v>1</v>
      </c>
      <c r="E7" s="4" t="n">
        <v>1</v>
      </c>
      <c r="F7" s="4" t="inlineStr">
        <is>
          <t>Winter</t>
        </is>
      </c>
      <c r="G7" s="4" t="inlineStr">
        <is>
          <t>Launch</t>
        </is>
      </c>
      <c r="H7" s="5">
        <f>1196.58</f>
        <v/>
      </c>
      <c r="I7" s="5" t="n">
        <v>17733</v>
      </c>
      <c r="J7" s="5" t="n">
        <v>1072</v>
      </c>
      <c r="K7" s="5">
        <f>ROUND(C7/I7*100,2)</f>
        <v/>
      </c>
      <c r="L7" s="5" t="n">
        <v>76</v>
      </c>
      <c r="M7" s="5" t="n">
        <v>36</v>
      </c>
      <c r="N7" s="5" t="n">
        <v>112</v>
      </c>
      <c r="O7" s="5">
        <f>ROUND(N7/J7*100,2)</f>
        <v/>
      </c>
      <c r="P7" s="5">
        <f>5167.55</f>
        <v/>
      </c>
      <c r="Q7" s="5">
        <f>ROUND(P7/H7,2)</f>
        <v/>
      </c>
      <c r="R7" s="5">
        <f>IF(K7&gt;0,ROUND(H7/K7,2),999)</f>
        <v/>
      </c>
      <c r="S7" s="5" t="inlineStr">
        <is>
          <t>Meal Kit</t>
        </is>
      </c>
      <c r="T7" s="5" t="n">
        <v>661</v>
      </c>
      <c r="U7" s="5" t="n">
        <v>76</v>
      </c>
      <c r="V7" s="5" t="n">
        <v>3988</v>
      </c>
      <c r="W7" s="4" t="inlineStr">
        <is>
          <t>Strong Friday engagement, peak subscription signups.</t>
        </is>
      </c>
    </row>
    <row r="8">
      <c r="A8" s="2" t="inlineStr">
        <is>
          <t>2024-01-07</t>
        </is>
      </c>
      <c r="B8" s="2" t="inlineStr">
        <is>
          <t>Sunday</t>
        </is>
      </c>
      <c r="C8" s="2" t="n">
        <v>1</v>
      </c>
      <c r="D8" s="2" t="n">
        <v>1</v>
      </c>
      <c r="E8" s="2" t="n">
        <v>1</v>
      </c>
      <c r="F8" s="2" t="inlineStr">
        <is>
          <t>Winter</t>
        </is>
      </c>
      <c r="G8" s="2" t="inlineStr">
        <is>
          <t>Launch</t>
        </is>
      </c>
      <c r="H8" s="3">
        <f>1194.51</f>
        <v/>
      </c>
      <c r="I8" s="3" t="n">
        <v>9581</v>
      </c>
      <c r="J8" s="3" t="n">
        <v>479</v>
      </c>
      <c r="K8" s="3">
        <f>ROUND(C8/I8*100,2)</f>
        <v/>
      </c>
      <c r="L8" s="3" t="n">
        <v>34</v>
      </c>
      <c r="M8" s="3" t="n">
        <v>17</v>
      </c>
      <c r="N8" s="3" t="n">
        <v>51</v>
      </c>
      <c r="O8" s="3">
        <f>ROUND(N8/J8*100,2)</f>
        <v/>
      </c>
      <c r="P8" s="3">
        <f>3170.23</f>
        <v/>
      </c>
      <c r="Q8" s="3">
        <f>ROUND(P8/H8,2)</f>
        <v/>
      </c>
      <c r="R8" s="3">
        <f>IF(K8&gt;0,ROUND(H8/K8,2),999)</f>
        <v/>
      </c>
      <c r="S8" s="3" t="inlineStr">
        <is>
          <t>Meal Kit</t>
        </is>
      </c>
      <c r="T8" s="3" t="n">
        <v>285</v>
      </c>
      <c r="U8" s="3" t="n">
        <v>110</v>
      </c>
      <c r="V8" s="3" t="n">
        <v>1897</v>
      </c>
      <c r="W8" s="2" t="inlineStr">
        <is>
          <t>Meta lookalike audience expansion successful.</t>
        </is>
      </c>
    </row>
    <row r="9">
      <c r="A9" s="4" t="inlineStr">
        <is>
          <t>2024-01-08</t>
        </is>
      </c>
      <c r="B9" s="4" t="inlineStr">
        <is>
          <t>Monday</t>
        </is>
      </c>
      <c r="C9" s="4" t="n">
        <v>2</v>
      </c>
      <c r="D9" s="4" t="n">
        <v>1</v>
      </c>
      <c r="E9" s="4" t="n">
        <v>1</v>
      </c>
      <c r="F9" s="4" t="inlineStr">
        <is>
          <t>Winter</t>
        </is>
      </c>
      <c r="G9" s="4" t="inlineStr">
        <is>
          <t>Launch</t>
        </is>
      </c>
      <c r="H9" s="5">
        <f>1590.93</f>
        <v/>
      </c>
      <c r="I9" s="5" t="n">
        <v>17840</v>
      </c>
      <c r="J9" s="5" t="n">
        <v>930</v>
      </c>
      <c r="K9" s="5">
        <f>ROUND(C9/I9*100,2)</f>
        <v/>
      </c>
      <c r="L9" s="5" t="n">
        <v>63</v>
      </c>
      <c r="M9" s="5" t="n">
        <v>22</v>
      </c>
      <c r="N9" s="5" t="n">
        <v>85</v>
      </c>
      <c r="O9" s="5">
        <f>ROUND(N9/J9*100,2)</f>
        <v/>
      </c>
      <c r="P9" s="5">
        <f>5294.10</f>
        <v/>
      </c>
      <c r="Q9" s="5">
        <f>ROUND(P9/H9,2)</f>
        <v/>
      </c>
      <c r="R9" s="5">
        <f>IF(K9&gt;0,ROUND(H9/K9,2),999)</f>
        <v/>
      </c>
      <c r="S9" s="5" t="inlineStr">
        <is>
          <t>Meal Kit</t>
        </is>
      </c>
      <c r="T9" s="5" t="n">
        <v>645</v>
      </c>
      <c r="U9" s="5" t="n">
        <v>214</v>
      </c>
      <c r="V9" s="5" t="n">
        <v>3229</v>
      </c>
      <c r="W9" s="4" t="inlineStr">
        <is>
          <t>Budget reallocation to top-performing Google Shopping ads.</t>
        </is>
      </c>
    </row>
    <row r="10">
      <c r="A10" s="2" t="inlineStr">
        <is>
          <t>2024-01-09</t>
        </is>
      </c>
      <c r="B10" s="2" t="inlineStr">
        <is>
          <t>Tuesday</t>
        </is>
      </c>
      <c r="C10" s="2" t="n">
        <v>2</v>
      </c>
      <c r="D10" s="2" t="n">
        <v>1</v>
      </c>
      <c r="E10" s="2" t="n">
        <v>1</v>
      </c>
      <c r="F10" s="2" t="inlineStr">
        <is>
          <t>Winter</t>
        </is>
      </c>
      <c r="G10" s="2" t="inlineStr">
        <is>
          <t>Launch</t>
        </is>
      </c>
      <c r="H10" s="3">
        <f>1316.91</f>
        <v/>
      </c>
      <c r="I10" s="3" t="n">
        <v>16720</v>
      </c>
      <c r="J10" s="3" t="n">
        <v>876</v>
      </c>
      <c r="K10" s="3">
        <f>ROUND(C10/I10*100,2)</f>
        <v/>
      </c>
      <c r="L10" s="3" t="n">
        <v>101</v>
      </c>
      <c r="M10" s="3" t="n">
        <v>49</v>
      </c>
      <c r="N10" s="3" t="n">
        <v>150</v>
      </c>
      <c r="O10" s="3">
        <f>ROUND(N10/J10*100,2)</f>
        <v/>
      </c>
      <c r="P10" s="3">
        <f>9011.72</f>
        <v/>
      </c>
      <c r="Q10" s="3">
        <f>ROUND(P10/H10,2)</f>
        <v/>
      </c>
      <c r="R10" s="3">
        <f>IF(K10&gt;0,ROUND(H10/K10,2),999)</f>
        <v/>
      </c>
      <c r="S10" s="3" t="inlineStr">
        <is>
          <t>Pantry</t>
        </is>
      </c>
      <c r="T10" s="3" t="n">
        <v>348</v>
      </c>
      <c r="U10" s="3" t="n">
        <v>178</v>
      </c>
      <c r="V10" s="3" t="n">
        <v>3235</v>
      </c>
      <c r="W10" s="2" t="inlineStr">
        <is>
          <t>Strong Friday engagement, peak subscription signups.</t>
        </is>
      </c>
    </row>
    <row r="11">
      <c r="A11" s="4" t="inlineStr">
        <is>
          <t>2024-01-10</t>
        </is>
      </c>
      <c r="B11" s="4" t="inlineStr">
        <is>
          <t>Wednesday</t>
        </is>
      </c>
      <c r="C11" s="4" t="n">
        <v>2</v>
      </c>
      <c r="D11" s="4" t="n">
        <v>1</v>
      </c>
      <c r="E11" s="4" t="n">
        <v>1</v>
      </c>
      <c r="F11" s="4" t="inlineStr">
        <is>
          <t>Winter</t>
        </is>
      </c>
      <c r="G11" s="4" t="inlineStr">
        <is>
          <t>Launch</t>
        </is>
      </c>
      <c r="H11" s="5">
        <f>1476.52</f>
        <v/>
      </c>
      <c r="I11" s="5" t="n">
        <v>12405</v>
      </c>
      <c r="J11" s="5" t="n">
        <v>597</v>
      </c>
      <c r="K11" s="5">
        <f>ROUND(C11/I11*100,2)</f>
        <v/>
      </c>
      <c r="L11" s="5" t="n">
        <v>54</v>
      </c>
      <c r="M11" s="5" t="n">
        <v>23</v>
      </c>
      <c r="N11" s="5" t="n">
        <v>77</v>
      </c>
      <c r="O11" s="5">
        <f>ROUND(N11/J11*100,2)</f>
        <v/>
      </c>
      <c r="P11" s="5">
        <f>4782.22</f>
        <v/>
      </c>
      <c r="Q11" s="5">
        <f>ROUND(P11/H11,2)</f>
        <v/>
      </c>
      <c r="R11" s="5">
        <f>IF(K11&gt;0,ROUND(H11/K11,2),999)</f>
        <v/>
      </c>
      <c r="S11" s="5" t="inlineStr">
        <is>
          <t>Meal Kit</t>
        </is>
      </c>
      <c r="T11" s="5" t="n">
        <v>280</v>
      </c>
      <c r="U11" s="5" t="n">
        <v>146</v>
      </c>
      <c r="V11" s="5" t="n">
        <v>2612</v>
      </c>
      <c r="W11" s="4" t="inlineStr">
        <is>
          <t>Tuesday peak for email nurture campaigns.</t>
        </is>
      </c>
    </row>
    <row r="12">
      <c r="A12" s="2" t="inlineStr">
        <is>
          <t>2024-01-11</t>
        </is>
      </c>
      <c r="B12" s="2" t="inlineStr">
        <is>
          <t>Thursday</t>
        </is>
      </c>
      <c r="C12" s="2" t="n">
        <v>2</v>
      </c>
      <c r="D12" s="2" t="n">
        <v>1</v>
      </c>
      <c r="E12" s="2" t="n">
        <v>1</v>
      </c>
      <c r="F12" s="2" t="inlineStr">
        <is>
          <t>Winter</t>
        </is>
      </c>
      <c r="G12" s="2" t="inlineStr">
        <is>
          <t>Launch</t>
        </is>
      </c>
      <c r="H12" s="3">
        <f>1640.12</f>
        <v/>
      </c>
      <c r="I12" s="3" t="n">
        <v>18114</v>
      </c>
      <c r="J12" s="3" t="n">
        <v>1446</v>
      </c>
      <c r="K12" s="3">
        <f>ROUND(C12/I12*100,2)</f>
        <v/>
      </c>
      <c r="L12" s="3" t="n">
        <v>114</v>
      </c>
      <c r="M12" s="3" t="n">
        <v>73</v>
      </c>
      <c r="N12" s="3" t="n">
        <v>187</v>
      </c>
      <c r="O12" s="3">
        <f>ROUND(N12/J12*100,2)</f>
        <v/>
      </c>
      <c r="P12" s="3">
        <f>11929.11</f>
        <v/>
      </c>
      <c r="Q12" s="3">
        <f>ROUND(P12/H12,2)</f>
        <v/>
      </c>
      <c r="R12" s="3">
        <f>IF(K12&gt;0,ROUND(H12/K12,2),999)</f>
        <v/>
      </c>
      <c r="S12" s="3" t="inlineStr">
        <is>
          <t>Meal Kit</t>
        </is>
      </c>
      <c r="T12" s="3" t="n">
        <v>737</v>
      </c>
      <c r="U12" s="3" t="n">
        <v>93</v>
      </c>
      <c r="V12" s="3" t="n">
        <v>5998</v>
      </c>
      <c r="W12" s="2" t="inlineStr">
        <is>
          <t>Meta lookalike audience expansion successful.</t>
        </is>
      </c>
    </row>
    <row r="13">
      <c r="A13" s="4" t="inlineStr">
        <is>
          <t>2024-01-12</t>
        </is>
      </c>
      <c r="B13" s="4" t="inlineStr">
        <is>
          <t>Friday</t>
        </is>
      </c>
      <c r="C13" s="4" t="n">
        <v>2</v>
      </c>
      <c r="D13" s="4" t="n">
        <v>1</v>
      </c>
      <c r="E13" s="4" t="n">
        <v>1</v>
      </c>
      <c r="F13" s="4" t="inlineStr">
        <is>
          <t>Winter</t>
        </is>
      </c>
      <c r="G13" s="4" t="inlineStr">
        <is>
          <t>Launch</t>
        </is>
      </c>
      <c r="H13" s="5">
        <f>1539.68</f>
        <v/>
      </c>
      <c r="I13" s="5" t="n">
        <v>20639</v>
      </c>
      <c r="J13" s="5" t="n">
        <v>971</v>
      </c>
      <c r="K13" s="5">
        <f>ROUND(C13/I13*100,2)</f>
        <v/>
      </c>
      <c r="L13" s="5" t="n">
        <v>76</v>
      </c>
      <c r="M13" s="5" t="n">
        <v>27</v>
      </c>
      <c r="N13" s="5" t="n">
        <v>103</v>
      </c>
      <c r="O13" s="5">
        <f>ROUND(N13/J13*100,2)</f>
        <v/>
      </c>
      <c r="P13" s="5">
        <f>6178.25</f>
        <v/>
      </c>
      <c r="Q13" s="5">
        <f>ROUND(P13/H13,2)</f>
        <v/>
      </c>
      <c r="R13" s="5">
        <f>IF(K13&gt;0,ROUND(H13/K13,2),999)</f>
        <v/>
      </c>
      <c r="S13" s="5" t="inlineStr">
        <is>
          <t>Snack Box</t>
        </is>
      </c>
      <c r="T13" s="5" t="n">
        <v>527</v>
      </c>
      <c r="U13" s="5" t="n">
        <v>124</v>
      </c>
      <c r="V13" s="5" t="n">
        <v>3803</v>
      </c>
      <c r="W13" s="4" t="inlineStr">
        <is>
          <t>Weather-dependent category performance noted.</t>
        </is>
      </c>
    </row>
    <row r="14">
      <c r="A14" s="2" t="inlineStr">
        <is>
          <t>2024-01-13</t>
        </is>
      </c>
      <c r="B14" s="2" t="inlineStr">
        <is>
          <t>Saturday</t>
        </is>
      </c>
      <c r="C14" s="2" t="n">
        <v>2</v>
      </c>
      <c r="D14" s="2" t="n">
        <v>1</v>
      </c>
      <c r="E14" s="2" t="n">
        <v>1</v>
      </c>
      <c r="F14" s="2" t="inlineStr">
        <is>
          <t>Winter</t>
        </is>
      </c>
      <c r="G14" s="2" t="inlineStr">
        <is>
          <t>Launch</t>
        </is>
      </c>
      <c r="H14" s="3">
        <f>944.02</f>
        <v/>
      </c>
      <c r="I14" s="3" t="n">
        <v>11678</v>
      </c>
      <c r="J14" s="3" t="n">
        <v>274</v>
      </c>
      <c r="K14" s="3">
        <f>ROUND(C14/I14*100,2)</f>
        <v/>
      </c>
      <c r="L14" s="3" t="n">
        <v>21</v>
      </c>
      <c r="M14" s="3" t="n">
        <v>16</v>
      </c>
      <c r="N14" s="3" t="n">
        <v>37</v>
      </c>
      <c r="O14" s="3">
        <f>ROUND(N14/J14*100,2)</f>
        <v/>
      </c>
      <c r="P14" s="3">
        <f>1995.86</f>
        <v/>
      </c>
      <c r="Q14" s="3">
        <f>ROUND(P14/H14,2)</f>
        <v/>
      </c>
      <c r="R14" s="3">
        <f>IF(K14&gt;0,ROUND(H14/K14,2),999)</f>
        <v/>
      </c>
      <c r="S14" s="3" t="inlineStr">
        <is>
          <t>Meal Kit</t>
        </is>
      </c>
      <c r="T14" s="3" t="n">
        <v>183</v>
      </c>
      <c r="U14" s="3" t="n">
        <v>32</v>
      </c>
      <c r="V14" s="3" t="n">
        <v>1575</v>
      </c>
      <c r="W14" s="2" t="inlineStr">
        <is>
          <t>Strong Friday engagement, peak subscription signups.</t>
        </is>
      </c>
    </row>
    <row r="15">
      <c r="A15" s="4" t="inlineStr">
        <is>
          <t>2024-01-14</t>
        </is>
      </c>
      <c r="B15" s="4" t="inlineStr">
        <is>
          <t>Sunday</t>
        </is>
      </c>
      <c r="C15" s="4" t="n">
        <v>2</v>
      </c>
      <c r="D15" s="4" t="n">
        <v>1</v>
      </c>
      <c r="E15" s="4" t="n">
        <v>1</v>
      </c>
      <c r="F15" s="4" t="inlineStr">
        <is>
          <t>Winter</t>
        </is>
      </c>
      <c r="G15" s="4" t="inlineStr">
        <is>
          <t>Launch</t>
        </is>
      </c>
      <c r="H15" s="5">
        <f>1009.27</f>
        <v/>
      </c>
      <c r="I15" s="5" t="n">
        <v>11812</v>
      </c>
      <c r="J15" s="5" t="n">
        <v>905</v>
      </c>
      <c r="K15" s="5">
        <f>ROUND(C15/I15*100,2)</f>
        <v/>
      </c>
      <c r="L15" s="5" t="n">
        <v>48</v>
      </c>
      <c r="M15" s="5" t="n">
        <v>34</v>
      </c>
      <c r="N15" s="5" t="n">
        <v>82</v>
      </c>
      <c r="O15" s="5">
        <f>ROUND(N15/J15*100,2)</f>
        <v/>
      </c>
      <c r="P15" s="5">
        <f>4591.78</f>
        <v/>
      </c>
      <c r="Q15" s="5">
        <f>ROUND(P15/H15,2)</f>
        <v/>
      </c>
      <c r="R15" s="5">
        <f>IF(K15&gt;0,ROUND(H15/K15,2),999)</f>
        <v/>
      </c>
      <c r="S15" s="5" t="inlineStr">
        <is>
          <t>Meal Kit</t>
        </is>
      </c>
      <c r="T15" s="5" t="n">
        <v>472</v>
      </c>
      <c r="U15" s="5" t="n">
        <v>127</v>
      </c>
      <c r="V15" s="5" t="n">
        <v>2496</v>
      </c>
      <c r="W15" s="4" t="inlineStr">
        <is>
          <t>New TikTok creative launched, high initial impression share.</t>
        </is>
      </c>
    </row>
    <row r="16">
      <c r="A16" s="2" t="inlineStr">
        <is>
          <t>2024-01-15</t>
        </is>
      </c>
      <c r="B16" s="2" t="inlineStr">
        <is>
          <t>Monday</t>
        </is>
      </c>
      <c r="C16" s="2" t="n">
        <v>3</v>
      </c>
      <c r="D16" s="2" t="n">
        <v>1</v>
      </c>
      <c r="E16" s="2" t="n">
        <v>1</v>
      </c>
      <c r="F16" s="2" t="inlineStr">
        <is>
          <t>Winter</t>
        </is>
      </c>
      <c r="G16" s="2" t="inlineStr">
        <is>
          <t>Launch</t>
        </is>
      </c>
      <c r="H16" s="3">
        <f>1637.33</f>
        <v/>
      </c>
      <c r="I16" s="3" t="n">
        <v>14230</v>
      </c>
      <c r="J16" s="3" t="n">
        <v>353</v>
      </c>
      <c r="K16" s="3">
        <f>ROUND(C16/I16*100,2)</f>
        <v/>
      </c>
      <c r="L16" s="3" t="n">
        <v>30</v>
      </c>
      <c r="M16" s="3" t="n">
        <v>19</v>
      </c>
      <c r="N16" s="3" t="n">
        <v>49</v>
      </c>
      <c r="O16" s="3">
        <f>ROUND(N16/J16*100,2)</f>
        <v/>
      </c>
      <c r="P16" s="3">
        <f>2941.27</f>
        <v/>
      </c>
      <c r="Q16" s="3">
        <f>ROUND(P16/H16,2)</f>
        <v/>
      </c>
      <c r="R16" s="3">
        <f>IF(K16&gt;0,ROUND(H16/K16,2),999)</f>
        <v/>
      </c>
      <c r="S16" s="3" t="inlineStr">
        <is>
          <t>Snack Box</t>
        </is>
      </c>
      <c r="T16" s="3" t="n">
        <v>262</v>
      </c>
      <c r="U16" s="3" t="n">
        <v>64</v>
      </c>
      <c r="V16" s="3" t="n">
        <v>4853</v>
      </c>
      <c r="W16" s="2" t="inlineStr">
        <is>
          <t>Display network efficiency improved after audience refinement.</t>
        </is>
      </c>
    </row>
    <row r="17">
      <c r="A17" s="4" t="inlineStr">
        <is>
          <t>2024-01-16</t>
        </is>
      </c>
      <c r="B17" s="4" t="inlineStr">
        <is>
          <t>Tuesday</t>
        </is>
      </c>
      <c r="C17" s="4" t="n">
        <v>3</v>
      </c>
      <c r="D17" s="4" t="n">
        <v>1</v>
      </c>
      <c r="E17" s="4" t="n">
        <v>1</v>
      </c>
      <c r="F17" s="4" t="inlineStr">
        <is>
          <t>Winter</t>
        </is>
      </c>
      <c r="G17" s="4" t="inlineStr">
        <is>
          <t>Launch</t>
        </is>
      </c>
      <c r="H17" s="5">
        <f>1546.63</f>
        <v/>
      </c>
      <c r="I17" s="5" t="n">
        <v>18198</v>
      </c>
      <c r="J17" s="5" t="n">
        <v>923</v>
      </c>
      <c r="K17" s="5">
        <f>ROUND(C17/I17*100,2)</f>
        <v/>
      </c>
      <c r="L17" s="5" t="n">
        <v>66</v>
      </c>
      <c r="M17" s="5" t="n">
        <v>45</v>
      </c>
      <c r="N17" s="5" t="n">
        <v>111</v>
      </c>
      <c r="O17" s="5">
        <f>ROUND(N17/J17*100,2)</f>
        <v/>
      </c>
      <c r="P17" s="5">
        <f>5107.64</f>
        <v/>
      </c>
      <c r="Q17" s="5">
        <f>ROUND(P17/H17,2)</f>
        <v/>
      </c>
      <c r="R17" s="5">
        <f>IF(K17&gt;0,ROUND(H17/K17,2),999)</f>
        <v/>
      </c>
      <c r="S17" s="5" t="inlineStr">
        <is>
          <t>Snack Box</t>
        </is>
      </c>
      <c r="T17" s="5" t="n">
        <v>590</v>
      </c>
      <c r="U17" s="5" t="n">
        <v>166</v>
      </c>
      <c r="V17" s="5" t="n">
        <v>2280</v>
      </c>
      <c r="W17" s="4" t="inlineStr">
        <is>
          <t>Bundle promotion resonating with families segment.</t>
        </is>
      </c>
    </row>
    <row r="18">
      <c r="A18" s="2" t="inlineStr">
        <is>
          <t>2024-01-17</t>
        </is>
      </c>
      <c r="B18" s="2" t="inlineStr">
        <is>
          <t>Wednesday</t>
        </is>
      </c>
      <c r="C18" s="2" t="n">
        <v>3</v>
      </c>
      <c r="D18" s="2" t="n">
        <v>1</v>
      </c>
      <c r="E18" s="2" t="n">
        <v>1</v>
      </c>
      <c r="F18" s="2" t="inlineStr">
        <is>
          <t>Winter</t>
        </is>
      </c>
      <c r="G18" s="2" t="inlineStr">
        <is>
          <t>Launch</t>
        </is>
      </c>
      <c r="H18" s="3">
        <f>1344.21</f>
        <v/>
      </c>
      <c r="I18" s="3" t="n">
        <v>16565</v>
      </c>
      <c r="J18" s="3" t="n">
        <v>1289</v>
      </c>
      <c r="K18" s="3">
        <f>ROUND(C18/I18*100,2)</f>
        <v/>
      </c>
      <c r="L18" s="3" t="n">
        <v>96</v>
      </c>
      <c r="M18" s="3" t="n">
        <v>35</v>
      </c>
      <c r="N18" s="3" t="n">
        <v>131</v>
      </c>
      <c r="O18" s="3">
        <f>ROUND(N18/J18*100,2)</f>
        <v/>
      </c>
      <c r="P18" s="3">
        <f>6244.27</f>
        <v/>
      </c>
      <c r="Q18" s="3">
        <f>ROUND(P18/H18,2)</f>
        <v/>
      </c>
      <c r="R18" s="3">
        <f>IF(K18&gt;0,ROUND(H18/K18,2),999)</f>
        <v/>
      </c>
      <c r="S18" s="3" t="inlineStr">
        <is>
          <t>Pantry</t>
        </is>
      </c>
      <c r="T18" s="3" t="n">
        <v>731</v>
      </c>
      <c r="U18" s="3" t="n">
        <v>292</v>
      </c>
      <c r="V18" s="3" t="n">
        <v>4090</v>
      </c>
      <c r="W18" s="2" t="inlineStr">
        <is>
          <t>Test of lifestyle content format underperforming, discontinued.</t>
        </is>
      </c>
    </row>
    <row r="19">
      <c r="A19" s="4" t="inlineStr">
        <is>
          <t>2024-01-18</t>
        </is>
      </c>
      <c r="B19" s="4" t="inlineStr">
        <is>
          <t>Thursday</t>
        </is>
      </c>
      <c r="C19" s="4" t="n">
        <v>3</v>
      </c>
      <c r="D19" s="4" t="n">
        <v>1</v>
      </c>
      <c r="E19" s="4" t="n">
        <v>1</v>
      </c>
      <c r="F19" s="4" t="inlineStr">
        <is>
          <t>Winter</t>
        </is>
      </c>
      <c r="G19" s="4" t="inlineStr">
        <is>
          <t>Launch</t>
        </is>
      </c>
      <c r="H19" s="5">
        <f>1603.67</f>
        <v/>
      </c>
      <c r="I19" s="5" t="n">
        <v>20679</v>
      </c>
      <c r="J19" s="5" t="n">
        <v>1495</v>
      </c>
      <c r="K19" s="5">
        <f>ROUND(C19/I19*100,2)</f>
        <v/>
      </c>
      <c r="L19" s="5" t="n">
        <v>169</v>
      </c>
      <c r="M19" s="5" t="n">
        <v>62</v>
      </c>
      <c r="N19" s="5" t="n">
        <v>231</v>
      </c>
      <c r="O19" s="5">
        <f>ROUND(N19/J19*100,2)</f>
        <v/>
      </c>
      <c r="P19" s="5">
        <f>10518.34</f>
        <v/>
      </c>
      <c r="Q19" s="5">
        <f>ROUND(P19/H19,2)</f>
        <v/>
      </c>
      <c r="R19" s="5">
        <f>IF(K19&gt;0,ROUND(H19/K19,2),999)</f>
        <v/>
      </c>
      <c r="S19" s="5" t="inlineStr">
        <is>
          <t>Pantry</t>
        </is>
      </c>
      <c r="T19" s="5" t="n">
        <v>967</v>
      </c>
      <c r="U19" s="5" t="n">
        <v>109</v>
      </c>
      <c r="V19" s="5" t="n">
        <v>4746</v>
      </c>
      <c r="W19" s="4" t="inlineStr">
        <is>
          <t>Meta lookalike audience expansion successful.</t>
        </is>
      </c>
    </row>
    <row r="20">
      <c r="A20" s="2" t="inlineStr">
        <is>
          <t>2024-01-19</t>
        </is>
      </c>
      <c r="B20" s="2" t="inlineStr">
        <is>
          <t>Friday</t>
        </is>
      </c>
      <c r="C20" s="2" t="n">
        <v>3</v>
      </c>
      <c r="D20" s="2" t="n">
        <v>1</v>
      </c>
      <c r="E20" s="2" t="n">
        <v>1</v>
      </c>
      <c r="F20" s="2" t="inlineStr">
        <is>
          <t>Winter</t>
        </is>
      </c>
      <c r="G20" s="2" t="inlineStr">
        <is>
          <t>Launch</t>
        </is>
      </c>
      <c r="H20" s="3">
        <f>1688.17</f>
        <v/>
      </c>
      <c r="I20" s="3" t="n">
        <v>23929</v>
      </c>
      <c r="J20" s="3" t="n">
        <v>520</v>
      </c>
      <c r="K20" s="3">
        <f>ROUND(C20/I20*100,2)</f>
        <v/>
      </c>
      <c r="L20" s="3" t="n">
        <v>56</v>
      </c>
      <c r="M20" s="3" t="n">
        <v>16</v>
      </c>
      <c r="N20" s="3" t="n">
        <v>72</v>
      </c>
      <c r="O20" s="3">
        <f>ROUND(N20/J20*100,2)</f>
        <v/>
      </c>
      <c r="P20" s="3">
        <f>4571.90</f>
        <v/>
      </c>
      <c r="Q20" s="3">
        <f>ROUND(P20/H20,2)</f>
        <v/>
      </c>
      <c r="R20" s="3">
        <f>IF(K20&gt;0,ROUND(H20/K20,2),999)</f>
        <v/>
      </c>
      <c r="S20" s="3" t="inlineStr">
        <is>
          <t>Meal Kit</t>
        </is>
      </c>
      <c r="T20" s="3" t="n">
        <v>217</v>
      </c>
      <c r="U20" s="3" t="n">
        <v>109</v>
      </c>
      <c r="V20" s="3" t="n">
        <v>2901</v>
      </c>
      <c r="W20" s="2" t="inlineStr">
        <is>
          <t>Weekend dip in conversions, organic traffic remains steady.</t>
        </is>
      </c>
    </row>
    <row r="21">
      <c r="A21" s="4" t="inlineStr">
        <is>
          <t>2024-01-20</t>
        </is>
      </c>
      <c r="B21" s="4" t="inlineStr">
        <is>
          <t>Saturday</t>
        </is>
      </c>
      <c r="C21" s="4" t="n">
        <v>3</v>
      </c>
      <c r="D21" s="4" t="n">
        <v>1</v>
      </c>
      <c r="E21" s="4" t="n">
        <v>1</v>
      </c>
      <c r="F21" s="4" t="inlineStr">
        <is>
          <t>Winter</t>
        </is>
      </c>
      <c r="G21" s="4" t="inlineStr">
        <is>
          <t>Launch</t>
        </is>
      </c>
      <c r="H21" s="5">
        <f>1130.82</f>
        <v/>
      </c>
      <c r="I21" s="5" t="n">
        <v>11072</v>
      </c>
      <c r="J21" s="5" t="n">
        <v>849</v>
      </c>
      <c r="K21" s="5">
        <f>ROUND(C21/I21*100,2)</f>
        <v/>
      </c>
      <c r="L21" s="5" t="n">
        <v>68</v>
      </c>
      <c r="M21" s="5" t="n">
        <v>28</v>
      </c>
      <c r="N21" s="5" t="n">
        <v>96</v>
      </c>
      <c r="O21" s="5">
        <f>ROUND(N21/J21*100,2)</f>
        <v/>
      </c>
      <c r="P21" s="5">
        <f>5381.50</f>
        <v/>
      </c>
      <c r="Q21" s="5">
        <f>ROUND(P21/H21,2)</f>
        <v/>
      </c>
      <c r="R21" s="5">
        <f>IF(K21&gt;0,ROUND(H21/K21,2),999)</f>
        <v/>
      </c>
      <c r="S21" s="5" t="inlineStr">
        <is>
          <t>Snack Box</t>
        </is>
      </c>
      <c r="T21" s="5" t="n">
        <v>397</v>
      </c>
      <c r="U21" s="5" t="n">
        <v>88</v>
      </c>
      <c r="V21" s="5" t="n">
        <v>3336</v>
      </c>
      <c r="W21" s="4" t="inlineStr">
        <is>
          <t>New TikTok creative launched, high initial impression share.</t>
        </is>
      </c>
    </row>
    <row r="22">
      <c r="A22" s="2" t="inlineStr">
        <is>
          <t>2024-01-21</t>
        </is>
      </c>
      <c r="B22" s="2" t="inlineStr">
        <is>
          <t>Sunday</t>
        </is>
      </c>
      <c r="C22" s="2" t="n">
        <v>3</v>
      </c>
      <c r="D22" s="2" t="n">
        <v>1</v>
      </c>
      <c r="E22" s="2" t="n">
        <v>1</v>
      </c>
      <c r="F22" s="2" t="inlineStr">
        <is>
          <t>Winter</t>
        </is>
      </c>
      <c r="G22" s="2" t="inlineStr">
        <is>
          <t>Launch</t>
        </is>
      </c>
      <c r="H22" s="3">
        <f>1096.27</f>
        <v/>
      </c>
      <c r="I22" s="3" t="n">
        <v>15048</v>
      </c>
      <c r="J22" s="3" t="n">
        <v>796</v>
      </c>
      <c r="K22" s="3">
        <f>ROUND(C22/I22*100,2)</f>
        <v/>
      </c>
      <c r="L22" s="3" t="n">
        <v>70</v>
      </c>
      <c r="M22" s="3" t="n">
        <v>18</v>
      </c>
      <c r="N22" s="3" t="n">
        <v>88</v>
      </c>
      <c r="O22" s="3">
        <f>ROUND(N22/J22*100,2)</f>
        <v/>
      </c>
      <c r="P22" s="3">
        <f>5418.73</f>
        <v/>
      </c>
      <c r="Q22" s="3">
        <f>ROUND(P22/H22,2)</f>
        <v/>
      </c>
      <c r="R22" s="3">
        <f>IF(K22&gt;0,ROUND(H22/K22,2),999)</f>
        <v/>
      </c>
      <c r="S22" s="3" t="inlineStr">
        <is>
          <t>Snack Box</t>
        </is>
      </c>
      <c r="T22" s="3" t="n">
        <v>448</v>
      </c>
      <c r="U22" s="3" t="n">
        <v>154</v>
      </c>
      <c r="V22" s="3" t="n">
        <v>4263</v>
      </c>
      <c r="W22" s="2" t="inlineStr">
        <is>
          <t>Meta lookalike audience expansion successful.</t>
        </is>
      </c>
    </row>
    <row r="23">
      <c r="A23" s="4" t="inlineStr">
        <is>
          <t>2024-01-22</t>
        </is>
      </c>
      <c r="B23" s="4" t="inlineStr">
        <is>
          <t>Monday</t>
        </is>
      </c>
      <c r="C23" s="4" t="n">
        <v>4</v>
      </c>
      <c r="D23" s="4" t="n">
        <v>1</v>
      </c>
      <c r="E23" s="4" t="n">
        <v>1</v>
      </c>
      <c r="F23" s="4" t="inlineStr">
        <is>
          <t>Winter</t>
        </is>
      </c>
      <c r="G23" s="4" t="inlineStr">
        <is>
          <t>Launch</t>
        </is>
      </c>
      <c r="H23" s="5">
        <f>1576.27</f>
        <v/>
      </c>
      <c r="I23" s="5" t="n">
        <v>22149</v>
      </c>
      <c r="J23" s="5" t="n">
        <v>897</v>
      </c>
      <c r="K23" s="5">
        <f>ROUND(C23/I23*100,2)</f>
        <v/>
      </c>
      <c r="L23" s="5" t="n">
        <v>107</v>
      </c>
      <c r="M23" s="5" t="n">
        <v>50</v>
      </c>
      <c r="N23" s="5" t="n">
        <v>157</v>
      </c>
      <c r="O23" s="5">
        <f>ROUND(N23/J23*100,2)</f>
        <v/>
      </c>
      <c r="P23" s="5">
        <f>9808.72</f>
        <v/>
      </c>
      <c r="Q23" s="5">
        <f>ROUND(P23/H23,2)</f>
        <v/>
      </c>
      <c r="R23" s="5">
        <f>IF(K23&gt;0,ROUND(H23/K23,2),999)</f>
        <v/>
      </c>
      <c r="S23" s="5" t="inlineStr">
        <is>
          <t>Snack Box</t>
        </is>
      </c>
      <c r="T23" s="5" t="n">
        <v>557</v>
      </c>
      <c r="U23" s="5" t="n">
        <v>188</v>
      </c>
      <c r="V23" s="5" t="n">
        <v>8327</v>
      </c>
      <c r="W23" s="4" t="inlineStr">
        <is>
          <t>YouTube pre-roll tested with product demo creatives.</t>
        </is>
      </c>
    </row>
    <row r="24">
      <c r="A24" s="2" t="inlineStr">
        <is>
          <t>2024-01-23</t>
        </is>
      </c>
      <c r="B24" s="2" t="inlineStr">
        <is>
          <t>Tuesday</t>
        </is>
      </c>
      <c r="C24" s="2" t="n">
        <v>4</v>
      </c>
      <c r="D24" s="2" t="n">
        <v>1</v>
      </c>
      <c r="E24" s="2" t="n">
        <v>1</v>
      </c>
      <c r="F24" s="2" t="inlineStr">
        <is>
          <t>Winter</t>
        </is>
      </c>
      <c r="G24" s="2" t="inlineStr">
        <is>
          <t>Launch</t>
        </is>
      </c>
      <c r="H24" s="3">
        <f>1560.09</f>
        <v/>
      </c>
      <c r="I24" s="3" t="n">
        <v>19300</v>
      </c>
      <c r="J24" s="3" t="n">
        <v>1508</v>
      </c>
      <c r="K24" s="3">
        <f>ROUND(C24/I24*100,2)</f>
        <v/>
      </c>
      <c r="L24" s="3" t="n">
        <v>156</v>
      </c>
      <c r="M24" s="3" t="n">
        <v>57</v>
      </c>
      <c r="N24" s="3" t="n">
        <v>213</v>
      </c>
      <c r="O24" s="3">
        <f>ROUND(N24/J24*100,2)</f>
        <v/>
      </c>
      <c r="P24" s="3">
        <f>11789.76</f>
        <v/>
      </c>
      <c r="Q24" s="3">
        <f>ROUND(P24/H24,2)</f>
        <v/>
      </c>
      <c r="R24" s="3">
        <f>IF(K24&gt;0,ROUND(H24/K24,2),999)</f>
        <v/>
      </c>
      <c r="S24" s="3" t="inlineStr">
        <is>
          <t>Pantry</t>
        </is>
      </c>
      <c r="T24" s="3" t="n">
        <v>971</v>
      </c>
      <c r="U24" s="3" t="n">
        <v>223</v>
      </c>
      <c r="V24" s="3" t="n">
        <v>5646</v>
      </c>
      <c r="W24" s="2" t="inlineStr">
        <is>
          <t>Strong Friday engagement, peak subscription signups.</t>
        </is>
      </c>
    </row>
    <row r="25">
      <c r="A25" s="4" t="inlineStr">
        <is>
          <t>2024-01-24</t>
        </is>
      </c>
      <c r="B25" s="4" t="inlineStr">
        <is>
          <t>Wednesday</t>
        </is>
      </c>
      <c r="C25" s="4" t="n">
        <v>4</v>
      </c>
      <c r="D25" s="4" t="n">
        <v>1</v>
      </c>
      <c r="E25" s="4" t="n">
        <v>1</v>
      </c>
      <c r="F25" s="4" t="inlineStr">
        <is>
          <t>Winter</t>
        </is>
      </c>
      <c r="G25" s="4" t="inlineStr">
        <is>
          <t>Launch</t>
        </is>
      </c>
      <c r="H25" s="5">
        <f>1448.51</f>
        <v/>
      </c>
      <c r="I25" s="5" t="n">
        <v>20818</v>
      </c>
      <c r="J25" s="5" t="n">
        <v>441</v>
      </c>
      <c r="K25" s="5">
        <f>ROUND(C25/I25*100,2)</f>
        <v/>
      </c>
      <c r="L25" s="5" t="n">
        <v>51</v>
      </c>
      <c r="M25" s="5" t="n">
        <v>12</v>
      </c>
      <c r="N25" s="5" t="n">
        <v>63</v>
      </c>
      <c r="O25" s="5">
        <f>ROUND(N25/J25*100,2)</f>
        <v/>
      </c>
      <c r="P25" s="5">
        <f>3844.12</f>
        <v/>
      </c>
      <c r="Q25" s="5">
        <f>ROUND(P25/H25,2)</f>
        <v/>
      </c>
      <c r="R25" s="5">
        <f>IF(K25&gt;0,ROUND(H25/K25,2),999)</f>
        <v/>
      </c>
      <c r="S25" s="5" t="inlineStr">
        <is>
          <t>Pantry</t>
        </is>
      </c>
      <c r="T25" s="5" t="n">
        <v>340</v>
      </c>
      <c r="U25" s="5" t="n">
        <v>33</v>
      </c>
      <c r="V25" s="5" t="n">
        <v>2569</v>
      </c>
      <c r="W25" s="4" t="inlineStr">
        <is>
          <t>Seasonal surge in health-conscious persona segments.</t>
        </is>
      </c>
    </row>
    <row r="26">
      <c r="A26" s="2" t="inlineStr">
        <is>
          <t>2024-01-25</t>
        </is>
      </c>
      <c r="B26" s="2" t="inlineStr">
        <is>
          <t>Thursday</t>
        </is>
      </c>
      <c r="C26" s="2" t="n">
        <v>4</v>
      </c>
      <c r="D26" s="2" t="n">
        <v>1</v>
      </c>
      <c r="E26" s="2" t="n">
        <v>1</v>
      </c>
      <c r="F26" s="2" t="inlineStr">
        <is>
          <t>Winter</t>
        </is>
      </c>
      <c r="G26" s="2" t="inlineStr">
        <is>
          <t>Launch</t>
        </is>
      </c>
      <c r="H26" s="3">
        <f>1720.01</f>
        <v/>
      </c>
      <c r="I26" s="3" t="n">
        <v>20583</v>
      </c>
      <c r="J26" s="3" t="n">
        <v>1400</v>
      </c>
      <c r="K26" s="3">
        <f>ROUND(C26/I26*100,2)</f>
        <v/>
      </c>
      <c r="L26" s="3" t="n">
        <v>73</v>
      </c>
      <c r="M26" s="3" t="n">
        <v>56</v>
      </c>
      <c r="N26" s="3" t="n">
        <v>129</v>
      </c>
      <c r="O26" s="3">
        <f>ROUND(N26/J26*100,2)</f>
        <v/>
      </c>
      <c r="P26" s="3">
        <f>6065.04</f>
        <v/>
      </c>
      <c r="Q26" s="3">
        <f>ROUND(P26/H26,2)</f>
        <v/>
      </c>
      <c r="R26" s="3">
        <f>IF(K26&gt;0,ROUND(H26/K26,2),999)</f>
        <v/>
      </c>
      <c r="S26" s="3" t="inlineStr">
        <is>
          <t>Snack Box</t>
        </is>
      </c>
      <c r="T26" s="3" t="n">
        <v>576</v>
      </c>
      <c r="U26" s="3" t="n">
        <v>223</v>
      </c>
      <c r="V26" s="3" t="n">
        <v>4539</v>
      </c>
      <c r="W26" s="2" t="inlineStr">
        <is>
          <t>Subscription retention improving month-over-month.</t>
        </is>
      </c>
    </row>
    <row r="27">
      <c r="A27" s="4" t="inlineStr">
        <is>
          <t>2024-01-26</t>
        </is>
      </c>
      <c r="B27" s="4" t="inlineStr">
        <is>
          <t>Friday</t>
        </is>
      </c>
      <c r="C27" s="4" t="n">
        <v>4</v>
      </c>
      <c r="D27" s="4" t="n">
        <v>1</v>
      </c>
      <c r="E27" s="4" t="n">
        <v>1</v>
      </c>
      <c r="F27" s="4" t="inlineStr">
        <is>
          <t>Winter</t>
        </is>
      </c>
      <c r="G27" s="4" t="inlineStr">
        <is>
          <t>Launch</t>
        </is>
      </c>
      <c r="H27" s="5">
        <f>1343.54</f>
        <v/>
      </c>
      <c r="I27" s="5" t="n">
        <v>15586</v>
      </c>
      <c r="J27" s="5" t="n">
        <v>1212</v>
      </c>
      <c r="K27" s="5">
        <f>ROUND(C27/I27*100,2)</f>
        <v/>
      </c>
      <c r="L27" s="5" t="n">
        <v>61</v>
      </c>
      <c r="M27" s="5" t="n">
        <v>35</v>
      </c>
      <c r="N27" s="5" t="n">
        <v>96</v>
      </c>
      <c r="O27" s="5">
        <f>ROUND(N27/J27*100,2)</f>
        <v/>
      </c>
      <c r="P27" s="5">
        <f>4777.00</f>
        <v/>
      </c>
      <c r="Q27" s="5">
        <f>ROUND(P27/H27,2)</f>
        <v/>
      </c>
      <c r="R27" s="5">
        <f>IF(K27&gt;0,ROUND(H27/K27,2),999)</f>
        <v/>
      </c>
      <c r="S27" s="5" t="inlineStr">
        <is>
          <t>Snack Box</t>
        </is>
      </c>
      <c r="T27" s="5" t="n">
        <v>598</v>
      </c>
      <c r="U27" s="5" t="n">
        <v>298</v>
      </c>
      <c r="V27" s="5" t="n">
        <v>2894</v>
      </c>
      <c r="W27" s="4" t="inlineStr">
        <is>
          <t>Mobile conversion rate optimization showing 12% improvement.</t>
        </is>
      </c>
    </row>
    <row r="28">
      <c r="A28" s="2" t="inlineStr">
        <is>
          <t>2024-01-27</t>
        </is>
      </c>
      <c r="B28" s="2" t="inlineStr">
        <is>
          <t>Saturday</t>
        </is>
      </c>
      <c r="C28" s="2" t="n">
        <v>4</v>
      </c>
      <c r="D28" s="2" t="n">
        <v>1</v>
      </c>
      <c r="E28" s="2" t="n">
        <v>1</v>
      </c>
      <c r="F28" s="2" t="inlineStr">
        <is>
          <t>Winter</t>
        </is>
      </c>
      <c r="G28" s="2" t="inlineStr">
        <is>
          <t>Launch</t>
        </is>
      </c>
      <c r="H28" s="3">
        <f>1071.55</f>
        <v/>
      </c>
      <c r="I28" s="3" t="n">
        <v>15728</v>
      </c>
      <c r="J28" s="3" t="n">
        <v>1109</v>
      </c>
      <c r="K28" s="3">
        <f>ROUND(C28/I28*100,2)</f>
        <v/>
      </c>
      <c r="L28" s="3" t="n">
        <v>82</v>
      </c>
      <c r="M28" s="3" t="n">
        <v>55</v>
      </c>
      <c r="N28" s="3" t="n">
        <v>137</v>
      </c>
      <c r="O28" s="3">
        <f>ROUND(N28/J28*100,2)</f>
        <v/>
      </c>
      <c r="P28" s="3">
        <f>7320.86</f>
        <v/>
      </c>
      <c r="Q28" s="3">
        <f>ROUND(P28/H28,2)</f>
        <v/>
      </c>
      <c r="R28" s="3">
        <f>IF(K28&gt;0,ROUND(H28/K28,2),999)</f>
        <v/>
      </c>
      <c r="S28" s="3" t="inlineStr">
        <is>
          <t>Snack Box</t>
        </is>
      </c>
      <c r="T28" s="3" t="n">
        <v>659</v>
      </c>
      <c r="U28" s="3" t="n">
        <v>126</v>
      </c>
      <c r="V28" s="3" t="n">
        <v>5333</v>
      </c>
      <c r="W28" s="2" t="inlineStr">
        <is>
          <t>Weather-dependent category performance noted.</t>
        </is>
      </c>
    </row>
    <row r="29">
      <c r="A29" s="4" t="inlineStr">
        <is>
          <t>2024-01-28</t>
        </is>
      </c>
      <c r="B29" s="4" t="inlineStr">
        <is>
          <t>Sunday</t>
        </is>
      </c>
      <c r="C29" s="4" t="n">
        <v>4</v>
      </c>
      <c r="D29" s="4" t="n">
        <v>1</v>
      </c>
      <c r="E29" s="4" t="n">
        <v>1</v>
      </c>
      <c r="F29" s="4" t="inlineStr">
        <is>
          <t>Winter</t>
        </is>
      </c>
      <c r="G29" s="4" t="inlineStr">
        <is>
          <t>Launch</t>
        </is>
      </c>
      <c r="H29" s="5">
        <f>1173.80</f>
        <v/>
      </c>
      <c r="I29" s="5" t="n">
        <v>16713</v>
      </c>
      <c r="J29" s="5" t="n">
        <v>984</v>
      </c>
      <c r="K29" s="5">
        <f>ROUND(C29/I29*100,2)</f>
        <v/>
      </c>
      <c r="L29" s="5" t="n">
        <v>78</v>
      </c>
      <c r="M29" s="5" t="n">
        <v>43</v>
      </c>
      <c r="N29" s="5" t="n">
        <v>121</v>
      </c>
      <c r="O29" s="5">
        <f>ROUND(N29/J29*100,2)</f>
        <v/>
      </c>
      <c r="P29" s="5">
        <f>5880.87</f>
        <v/>
      </c>
      <c r="Q29" s="5">
        <f>ROUND(P29/H29,2)</f>
        <v/>
      </c>
      <c r="R29" s="5">
        <f>IF(K29&gt;0,ROUND(H29/K29,2),999)</f>
        <v/>
      </c>
      <c r="S29" s="5" t="inlineStr">
        <is>
          <t>Meal Kit</t>
        </is>
      </c>
      <c r="T29" s="5" t="n">
        <v>582</v>
      </c>
      <c r="U29" s="5" t="n">
        <v>116</v>
      </c>
      <c r="V29" s="5" t="n">
        <v>2130</v>
      </c>
      <c r="W29" s="4" t="inlineStr">
        <is>
          <t>Mobile conversion rate optimization showing 12% improvement.</t>
        </is>
      </c>
    </row>
    <row r="30">
      <c r="A30" s="2" t="inlineStr">
        <is>
          <t>2024-01-29</t>
        </is>
      </c>
      <c r="B30" s="2" t="inlineStr">
        <is>
          <t>Monday</t>
        </is>
      </c>
      <c r="C30" s="2" t="n">
        <v>5</v>
      </c>
      <c r="D30" s="2" t="n">
        <v>1</v>
      </c>
      <c r="E30" s="2" t="n">
        <v>1</v>
      </c>
      <c r="F30" s="2" t="inlineStr">
        <is>
          <t>Winter</t>
        </is>
      </c>
      <c r="G30" s="2" t="inlineStr">
        <is>
          <t>Launch</t>
        </is>
      </c>
      <c r="H30" s="3">
        <f>1300.12</f>
        <v/>
      </c>
      <c r="I30" s="3" t="n">
        <v>19441</v>
      </c>
      <c r="J30" s="3" t="n">
        <v>718</v>
      </c>
      <c r="K30" s="3">
        <f>ROUND(C30/I30*100,2)</f>
        <v/>
      </c>
      <c r="L30" s="3" t="n">
        <v>55</v>
      </c>
      <c r="M30" s="3" t="n">
        <v>40</v>
      </c>
      <c r="N30" s="3" t="n">
        <v>95</v>
      </c>
      <c r="O30" s="3">
        <f>ROUND(N30/J30*100,2)</f>
        <v/>
      </c>
      <c r="P30" s="3">
        <f>6027.04</f>
        <v/>
      </c>
      <c r="Q30" s="3">
        <f>ROUND(P30/H30,2)</f>
        <v/>
      </c>
      <c r="R30" s="3">
        <f>IF(K30&gt;0,ROUND(H30/K30,2),999)</f>
        <v/>
      </c>
      <c r="S30" s="3" t="inlineStr">
        <is>
          <t>Pantry</t>
        </is>
      </c>
      <c r="T30" s="3" t="n">
        <v>519</v>
      </c>
      <c r="U30" s="3" t="n">
        <v>46</v>
      </c>
      <c r="V30" s="3" t="n">
        <v>4775</v>
      </c>
      <c r="W30" s="2" t="inlineStr">
        <is>
          <t>Strong Friday engagement, peak subscription signups.</t>
        </is>
      </c>
    </row>
    <row r="31">
      <c r="A31" s="4" t="inlineStr">
        <is>
          <t>2024-01-30</t>
        </is>
      </c>
      <c r="B31" s="4" t="inlineStr">
        <is>
          <t>Tuesday</t>
        </is>
      </c>
      <c r="C31" s="4" t="n">
        <v>5</v>
      </c>
      <c r="D31" s="4" t="n">
        <v>1</v>
      </c>
      <c r="E31" s="4" t="n">
        <v>1</v>
      </c>
      <c r="F31" s="4" t="inlineStr">
        <is>
          <t>Winter</t>
        </is>
      </c>
      <c r="G31" s="4" t="inlineStr">
        <is>
          <t>Launch</t>
        </is>
      </c>
      <c r="H31" s="5">
        <f>1355.73</f>
        <v/>
      </c>
      <c r="I31" s="5" t="n">
        <v>12256</v>
      </c>
      <c r="J31" s="5" t="n">
        <v>277</v>
      </c>
      <c r="K31" s="5">
        <f>ROUND(C31/I31*100,2)</f>
        <v/>
      </c>
      <c r="L31" s="5" t="n">
        <v>30</v>
      </c>
      <c r="M31" s="5" t="n">
        <v>12</v>
      </c>
      <c r="N31" s="5" t="n">
        <v>42</v>
      </c>
      <c r="O31" s="5">
        <f>ROUND(N31/J31*100,2)</f>
        <v/>
      </c>
      <c r="P31" s="5">
        <f>2041.93</f>
        <v/>
      </c>
      <c r="Q31" s="5">
        <f>ROUND(P31/H31,2)</f>
        <v/>
      </c>
      <c r="R31" s="5">
        <f>IF(K31&gt;0,ROUND(H31/K31,2),999)</f>
        <v/>
      </c>
      <c r="S31" s="5" t="inlineStr">
        <is>
          <t>Pantry</t>
        </is>
      </c>
      <c r="T31" s="5" t="n">
        <v>111</v>
      </c>
      <c r="U31" s="5" t="n">
        <v>31</v>
      </c>
      <c r="V31" s="5" t="n">
        <v>3393</v>
      </c>
      <c r="W31" s="4" t="inlineStr">
        <is>
          <t>Strong Friday engagement, peak subscription signups.</t>
        </is>
      </c>
    </row>
    <row r="32">
      <c r="A32" s="2" t="inlineStr">
        <is>
          <t>2024-01-31</t>
        </is>
      </c>
      <c r="B32" s="2" t="inlineStr">
        <is>
          <t>Wednesday</t>
        </is>
      </c>
      <c r="C32" s="2" t="n">
        <v>5</v>
      </c>
      <c r="D32" s="2" t="n">
        <v>1</v>
      </c>
      <c r="E32" s="2" t="n">
        <v>1</v>
      </c>
      <c r="F32" s="2" t="inlineStr">
        <is>
          <t>Winter</t>
        </is>
      </c>
      <c r="G32" s="2" t="inlineStr">
        <is>
          <t>Launch</t>
        </is>
      </c>
      <c r="H32" s="3">
        <f>1345.23</f>
        <v/>
      </c>
      <c r="I32" s="3" t="n">
        <v>11897</v>
      </c>
      <c r="J32" s="3" t="n">
        <v>798</v>
      </c>
      <c r="K32" s="3">
        <f>ROUND(C32/I32*100,2)</f>
        <v/>
      </c>
      <c r="L32" s="3" t="n">
        <v>46</v>
      </c>
      <c r="M32" s="3" t="n">
        <v>20</v>
      </c>
      <c r="N32" s="3" t="n">
        <v>66</v>
      </c>
      <c r="O32" s="3">
        <f>ROUND(N32/J32*100,2)</f>
        <v/>
      </c>
      <c r="P32" s="3">
        <f>3925.01</f>
        <v/>
      </c>
      <c r="Q32" s="3">
        <f>ROUND(P32/H32,2)</f>
        <v/>
      </c>
      <c r="R32" s="3">
        <f>IF(K32&gt;0,ROUND(H32/K32,2),999)</f>
        <v/>
      </c>
      <c r="S32" s="3" t="inlineStr">
        <is>
          <t>Pantry</t>
        </is>
      </c>
      <c r="T32" s="3" t="n">
        <v>296</v>
      </c>
      <c r="U32" s="3" t="n">
        <v>82</v>
      </c>
      <c r="V32" s="3" t="n">
        <v>3481</v>
      </c>
      <c r="W32" s="2" t="inlineStr">
        <is>
          <t>Retargeting campaign paused for fatigue analysis.</t>
        </is>
      </c>
    </row>
    <row r="33">
      <c r="A33" s="4" t="inlineStr">
        <is>
          <t>2024-02-01</t>
        </is>
      </c>
      <c r="B33" s="4" t="inlineStr">
        <is>
          <t>Thursday</t>
        </is>
      </c>
      <c r="C33" s="4" t="n">
        <v>5</v>
      </c>
      <c r="D33" s="4" t="n">
        <v>2</v>
      </c>
      <c r="E33" s="4" t="n">
        <v>1</v>
      </c>
      <c r="F33" s="4" t="inlineStr">
        <is>
          <t>Winter</t>
        </is>
      </c>
      <c r="G33" s="4" t="inlineStr">
        <is>
          <t>Launch</t>
        </is>
      </c>
      <c r="H33" s="5">
        <f>1468.29</f>
        <v/>
      </c>
      <c r="I33" s="5" t="n">
        <v>19872</v>
      </c>
      <c r="J33" s="5" t="n">
        <v>1381</v>
      </c>
      <c r="K33" s="5">
        <f>ROUND(C33/I33*100,2)</f>
        <v/>
      </c>
      <c r="L33" s="5" t="n">
        <v>154</v>
      </c>
      <c r="M33" s="5" t="n">
        <v>54</v>
      </c>
      <c r="N33" s="5" t="n">
        <v>208</v>
      </c>
      <c r="O33" s="5">
        <f>ROUND(N33/J33*100,2)</f>
        <v/>
      </c>
      <c r="P33" s="5">
        <f>11111.26</f>
        <v/>
      </c>
      <c r="Q33" s="5">
        <f>ROUND(P33/H33,2)</f>
        <v/>
      </c>
      <c r="R33" s="5">
        <f>IF(K33&gt;0,ROUND(H33/K33,2),999)</f>
        <v/>
      </c>
      <c r="S33" s="5" t="inlineStr">
        <is>
          <t>Meal Kit</t>
        </is>
      </c>
      <c r="T33" s="5" t="n">
        <v>775</v>
      </c>
      <c r="U33" s="5" t="n">
        <v>105</v>
      </c>
      <c r="V33" s="5" t="n">
        <v>6823</v>
      </c>
      <c r="W33" s="4" t="inlineStr">
        <is>
          <t>High-intent keyword performance exceeding benchmarks.</t>
        </is>
      </c>
    </row>
    <row r="34">
      <c r="A34" s="2" t="inlineStr">
        <is>
          <t>2024-02-02</t>
        </is>
      </c>
      <c r="B34" s="2" t="inlineStr">
        <is>
          <t>Friday</t>
        </is>
      </c>
      <c r="C34" s="2" t="n">
        <v>5</v>
      </c>
      <c r="D34" s="2" t="n">
        <v>2</v>
      </c>
      <c r="E34" s="2" t="n">
        <v>1</v>
      </c>
      <c r="F34" s="2" t="inlineStr">
        <is>
          <t>Winter</t>
        </is>
      </c>
      <c r="G34" s="2" t="inlineStr">
        <is>
          <t>Ramp-Up</t>
        </is>
      </c>
      <c r="H34" s="3">
        <f>1395.16</f>
        <v/>
      </c>
      <c r="I34" s="3" t="n">
        <v>12723</v>
      </c>
      <c r="J34" s="3" t="n">
        <v>882</v>
      </c>
      <c r="K34" s="3">
        <f>ROUND(C34/I34*100,2)</f>
        <v/>
      </c>
      <c r="L34" s="3" t="n">
        <v>101</v>
      </c>
      <c r="M34" s="3" t="n">
        <v>49</v>
      </c>
      <c r="N34" s="3" t="n">
        <v>150</v>
      </c>
      <c r="O34" s="3">
        <f>ROUND(N34/J34*100,2)</f>
        <v/>
      </c>
      <c r="P34" s="3">
        <f>7438.01</f>
        <v/>
      </c>
      <c r="Q34" s="3">
        <f>ROUND(P34/H34,2)</f>
        <v/>
      </c>
      <c r="R34" s="3">
        <f>IF(K34&gt;0,ROUND(H34/K34,2),999)</f>
        <v/>
      </c>
      <c r="S34" s="3" t="inlineStr">
        <is>
          <t>Pantry</t>
        </is>
      </c>
      <c r="T34" s="3" t="n">
        <v>278</v>
      </c>
      <c r="U34" s="3" t="n">
        <v>158</v>
      </c>
      <c r="V34" s="3" t="n">
        <v>2034</v>
      </c>
      <c r="W34" s="2" t="inlineStr">
        <is>
          <t>Email list fatigue evident, segment optimization recommended.</t>
        </is>
      </c>
    </row>
    <row r="35">
      <c r="A35" s="4" t="inlineStr">
        <is>
          <t>2024-02-03</t>
        </is>
      </c>
      <c r="B35" s="4" t="inlineStr">
        <is>
          <t>Saturday</t>
        </is>
      </c>
      <c r="C35" s="4" t="n">
        <v>5</v>
      </c>
      <c r="D35" s="4" t="n">
        <v>2</v>
      </c>
      <c r="E35" s="4" t="n">
        <v>1</v>
      </c>
      <c r="F35" s="4" t="inlineStr">
        <is>
          <t>Winter</t>
        </is>
      </c>
      <c r="G35" s="4" t="inlineStr">
        <is>
          <t>Ramp-Up</t>
        </is>
      </c>
      <c r="H35" s="5">
        <f>1056.00</f>
        <v/>
      </c>
      <c r="I35" s="5" t="n">
        <v>10412</v>
      </c>
      <c r="J35" s="5" t="n">
        <v>782</v>
      </c>
      <c r="K35" s="5">
        <f>ROUND(C35/I35*100,2)</f>
        <v/>
      </c>
      <c r="L35" s="5" t="n">
        <v>70</v>
      </c>
      <c r="M35" s="5" t="n">
        <v>20</v>
      </c>
      <c r="N35" s="5" t="n">
        <v>90</v>
      </c>
      <c r="O35" s="5">
        <f>ROUND(N35/J35*100,2)</f>
        <v/>
      </c>
      <c r="P35" s="5">
        <f>5564.73</f>
        <v/>
      </c>
      <c r="Q35" s="5">
        <f>ROUND(P35/H35,2)</f>
        <v/>
      </c>
      <c r="R35" s="5">
        <f>IF(K35&gt;0,ROUND(H35/K35,2),999)</f>
        <v/>
      </c>
      <c r="S35" s="5" t="inlineStr">
        <is>
          <t>Snack Box</t>
        </is>
      </c>
      <c r="T35" s="5" t="n">
        <v>619</v>
      </c>
      <c r="U35" s="5" t="n">
        <v>130</v>
      </c>
      <c r="V35" s="5" t="n">
        <v>2620</v>
      </c>
      <c r="W35" s="4" t="inlineStr">
        <is>
          <t>Retargeting campaign paused for fatigue analysis.</t>
        </is>
      </c>
    </row>
    <row r="36">
      <c r="A36" s="2" t="inlineStr">
        <is>
          <t>2024-02-04</t>
        </is>
      </c>
      <c r="B36" s="2" t="inlineStr">
        <is>
          <t>Sunday</t>
        </is>
      </c>
      <c r="C36" s="2" t="n">
        <v>5</v>
      </c>
      <c r="D36" s="2" t="n">
        <v>2</v>
      </c>
      <c r="E36" s="2" t="n">
        <v>1</v>
      </c>
      <c r="F36" s="2" t="inlineStr">
        <is>
          <t>Winter</t>
        </is>
      </c>
      <c r="G36" s="2" t="inlineStr">
        <is>
          <t>Ramp-Up</t>
        </is>
      </c>
      <c r="H36" s="3">
        <f>925.64</f>
        <v/>
      </c>
      <c r="I36" s="3" t="n">
        <v>8538</v>
      </c>
      <c r="J36" s="3" t="n">
        <v>636</v>
      </c>
      <c r="K36" s="3">
        <f>ROUND(C36/I36*100,2)</f>
        <v/>
      </c>
      <c r="L36" s="3" t="n">
        <v>74</v>
      </c>
      <c r="M36" s="3" t="n">
        <v>19</v>
      </c>
      <c r="N36" s="3" t="n">
        <v>93</v>
      </c>
      <c r="O36" s="3">
        <f>ROUND(N36/J36*100,2)</f>
        <v/>
      </c>
      <c r="P36" s="3">
        <f>4293.35</f>
        <v/>
      </c>
      <c r="Q36" s="3">
        <f>ROUND(P36/H36,2)</f>
        <v/>
      </c>
      <c r="R36" s="3">
        <f>IF(K36&gt;0,ROUND(H36/K36,2),999)</f>
        <v/>
      </c>
      <c r="S36" s="3" t="inlineStr">
        <is>
          <t>Pantry</t>
        </is>
      </c>
      <c r="T36" s="3" t="n">
        <v>194</v>
      </c>
      <c r="U36" s="3" t="n">
        <v>119</v>
      </c>
      <c r="V36" s="3" t="n">
        <v>1783</v>
      </c>
      <c r="W36" s="2" t="inlineStr">
        <is>
          <t>High-intent keyword performance exceeding benchmarks.</t>
        </is>
      </c>
    </row>
    <row r="37">
      <c r="A37" s="4" t="inlineStr">
        <is>
          <t>2024-02-05</t>
        </is>
      </c>
      <c r="B37" s="4" t="inlineStr">
        <is>
          <t>Monday</t>
        </is>
      </c>
      <c r="C37" s="4" t="n">
        <v>6</v>
      </c>
      <c r="D37" s="4" t="n">
        <v>2</v>
      </c>
      <c r="E37" s="4" t="n">
        <v>1</v>
      </c>
      <c r="F37" s="4" t="inlineStr">
        <is>
          <t>Winter</t>
        </is>
      </c>
      <c r="G37" s="4" t="inlineStr">
        <is>
          <t>Ramp-Up</t>
        </is>
      </c>
      <c r="H37" s="5">
        <f>1590.79</f>
        <v/>
      </c>
      <c r="I37" s="5" t="n">
        <v>15988</v>
      </c>
      <c r="J37" s="5" t="n">
        <v>738</v>
      </c>
      <c r="K37" s="5">
        <f>ROUND(C37/I37*100,2)</f>
        <v/>
      </c>
      <c r="L37" s="5" t="n">
        <v>81</v>
      </c>
      <c r="M37" s="5" t="n">
        <v>37</v>
      </c>
      <c r="N37" s="5" t="n">
        <v>118</v>
      </c>
      <c r="O37" s="5">
        <f>ROUND(N37/J37*100,2)</f>
        <v/>
      </c>
      <c r="P37" s="5">
        <f>6830.45</f>
        <v/>
      </c>
      <c r="Q37" s="5">
        <f>ROUND(P37/H37,2)</f>
        <v/>
      </c>
      <c r="R37" s="5">
        <f>IF(K37&gt;0,ROUND(H37/K37,2),999)</f>
        <v/>
      </c>
      <c r="S37" s="5" t="inlineStr">
        <is>
          <t>Snack Box</t>
        </is>
      </c>
      <c r="T37" s="5" t="n">
        <v>354</v>
      </c>
      <c r="U37" s="5" t="n">
        <v>126</v>
      </c>
      <c r="V37" s="5" t="n">
        <v>1995</v>
      </c>
      <c r="W37" s="4" t="inlineStr">
        <is>
          <t>YouTube pre-roll tested with product demo creatives.</t>
        </is>
      </c>
    </row>
    <row r="38">
      <c r="A38" s="2" t="inlineStr">
        <is>
          <t>2024-02-06</t>
        </is>
      </c>
      <c r="B38" s="2" t="inlineStr">
        <is>
          <t>Tuesday</t>
        </is>
      </c>
      <c r="C38" s="2" t="n">
        <v>6</v>
      </c>
      <c r="D38" s="2" t="n">
        <v>2</v>
      </c>
      <c r="E38" s="2" t="n">
        <v>1</v>
      </c>
      <c r="F38" s="2" t="inlineStr">
        <is>
          <t>Winter</t>
        </is>
      </c>
      <c r="G38" s="2" t="inlineStr">
        <is>
          <t>Ramp-Up</t>
        </is>
      </c>
      <c r="H38" s="3">
        <f>1620.56</f>
        <v/>
      </c>
      <c r="I38" s="3" t="n">
        <v>23940</v>
      </c>
      <c r="J38" s="3" t="n">
        <v>1322</v>
      </c>
      <c r="K38" s="3">
        <f>ROUND(C38/I38*100,2)</f>
        <v/>
      </c>
      <c r="L38" s="3" t="n">
        <v>100</v>
      </c>
      <c r="M38" s="3" t="n">
        <v>41</v>
      </c>
      <c r="N38" s="3" t="n">
        <v>141</v>
      </c>
      <c r="O38" s="3">
        <f>ROUND(N38/J38*100,2)</f>
        <v/>
      </c>
      <c r="P38" s="3">
        <f>8810.88</f>
        <v/>
      </c>
      <c r="Q38" s="3">
        <f>ROUND(P38/H38,2)</f>
        <v/>
      </c>
      <c r="R38" s="3">
        <f>IF(K38&gt;0,ROUND(H38/K38,2),999)</f>
        <v/>
      </c>
      <c r="S38" s="3" t="inlineStr">
        <is>
          <t>Snack Box</t>
        </is>
      </c>
      <c r="T38" s="3" t="n">
        <v>1030</v>
      </c>
      <c r="U38" s="3" t="n">
        <v>316</v>
      </c>
      <c r="V38" s="3" t="n">
        <v>3186</v>
      </c>
      <c r="W38" s="2" t="inlineStr">
        <is>
          <t>Weekend dip in conversions, organic traffic remains steady.</t>
        </is>
      </c>
    </row>
    <row r="39">
      <c r="A39" s="4" t="inlineStr">
        <is>
          <t>2024-02-07</t>
        </is>
      </c>
      <c r="B39" s="4" t="inlineStr">
        <is>
          <t>Wednesday</t>
        </is>
      </c>
      <c r="C39" s="4" t="n">
        <v>6</v>
      </c>
      <c r="D39" s="4" t="n">
        <v>2</v>
      </c>
      <c r="E39" s="4" t="n">
        <v>1</v>
      </c>
      <c r="F39" s="4" t="inlineStr">
        <is>
          <t>Winter</t>
        </is>
      </c>
      <c r="G39" s="4" t="inlineStr">
        <is>
          <t>Ramp-Up</t>
        </is>
      </c>
      <c r="H39" s="5">
        <f>1421.63</f>
        <v/>
      </c>
      <c r="I39" s="5" t="n">
        <v>12229</v>
      </c>
      <c r="J39" s="5" t="n">
        <v>319</v>
      </c>
      <c r="K39" s="5">
        <f>ROUND(C39/I39*100,2)</f>
        <v/>
      </c>
      <c r="L39" s="5" t="n">
        <v>28</v>
      </c>
      <c r="M39" s="5" t="n">
        <v>14</v>
      </c>
      <c r="N39" s="5" t="n">
        <v>42</v>
      </c>
      <c r="O39" s="5">
        <f>ROUND(N39/J39*100,2)</f>
        <v/>
      </c>
      <c r="P39" s="5">
        <f>2711.23</f>
        <v/>
      </c>
      <c r="Q39" s="5">
        <f>ROUND(P39/H39,2)</f>
        <v/>
      </c>
      <c r="R39" s="5">
        <f>IF(K39&gt;0,ROUND(H39/K39,2),999)</f>
        <v/>
      </c>
      <c r="S39" s="5" t="inlineStr">
        <is>
          <t>Pantry</t>
        </is>
      </c>
      <c r="T39" s="5" t="n">
        <v>103</v>
      </c>
      <c r="U39" s="5" t="n">
        <v>55</v>
      </c>
      <c r="V39" s="5" t="n">
        <v>4811</v>
      </c>
      <c r="W39" s="4" t="inlineStr">
        <is>
          <t>Email list fatigue evident, segment optimization recommended.</t>
        </is>
      </c>
    </row>
    <row r="40">
      <c r="A40" s="2" t="inlineStr">
        <is>
          <t>2024-02-08</t>
        </is>
      </c>
      <c r="B40" s="2" t="inlineStr">
        <is>
          <t>Thursday</t>
        </is>
      </c>
      <c r="C40" s="2" t="n">
        <v>6</v>
      </c>
      <c r="D40" s="2" t="n">
        <v>2</v>
      </c>
      <c r="E40" s="2" t="n">
        <v>1</v>
      </c>
      <c r="F40" s="2" t="inlineStr">
        <is>
          <t>Winter</t>
        </is>
      </c>
      <c r="G40" s="2" t="inlineStr">
        <is>
          <t>Ramp-Up</t>
        </is>
      </c>
      <c r="H40" s="3">
        <f>1289.63</f>
        <v/>
      </c>
      <c r="I40" s="3" t="n">
        <v>17874</v>
      </c>
      <c r="J40" s="3" t="n">
        <v>757</v>
      </c>
      <c r="K40" s="3">
        <f>ROUND(C40/I40*100,2)</f>
        <v/>
      </c>
      <c r="L40" s="3" t="n">
        <v>72</v>
      </c>
      <c r="M40" s="3" t="n">
        <v>29</v>
      </c>
      <c r="N40" s="3" t="n">
        <v>101</v>
      </c>
      <c r="O40" s="3">
        <f>ROUND(N40/J40*100,2)</f>
        <v/>
      </c>
      <c r="P40" s="3">
        <f>6071.06</f>
        <v/>
      </c>
      <c r="Q40" s="3">
        <f>ROUND(P40/H40,2)</f>
        <v/>
      </c>
      <c r="R40" s="3">
        <f>IF(K40&gt;0,ROUND(H40/K40,2),999)</f>
        <v/>
      </c>
      <c r="S40" s="3" t="inlineStr">
        <is>
          <t>Meal Kit</t>
        </is>
      </c>
      <c r="T40" s="3" t="n">
        <v>505</v>
      </c>
      <c r="U40" s="3" t="n">
        <v>124</v>
      </c>
      <c r="V40" s="3" t="n">
        <v>2417</v>
      </c>
      <c r="W40" s="2" t="inlineStr">
        <is>
          <t>Test of lifestyle content format underperforming, discontinued.</t>
        </is>
      </c>
    </row>
    <row r="41">
      <c r="A41" s="4" t="inlineStr">
        <is>
          <t>2024-02-09</t>
        </is>
      </c>
      <c r="B41" s="4" t="inlineStr">
        <is>
          <t>Friday</t>
        </is>
      </c>
      <c r="C41" s="4" t="n">
        <v>6</v>
      </c>
      <c r="D41" s="4" t="n">
        <v>2</v>
      </c>
      <c r="E41" s="4" t="n">
        <v>1</v>
      </c>
      <c r="F41" s="4" t="inlineStr">
        <is>
          <t>Winter</t>
        </is>
      </c>
      <c r="G41" s="4" t="inlineStr">
        <is>
          <t>Ramp-Up</t>
        </is>
      </c>
      <c r="H41" s="5">
        <f>1537.59</f>
        <v/>
      </c>
      <c r="I41" s="5" t="n">
        <v>22781</v>
      </c>
      <c r="J41" s="5" t="n">
        <v>503</v>
      </c>
      <c r="K41" s="5">
        <f>ROUND(C41/I41*100,2)</f>
        <v/>
      </c>
      <c r="L41" s="5" t="n">
        <v>56</v>
      </c>
      <c r="M41" s="5" t="n">
        <v>13</v>
      </c>
      <c r="N41" s="5" t="n">
        <v>69</v>
      </c>
      <c r="O41" s="5">
        <f>ROUND(N41/J41*100,2)</f>
        <v/>
      </c>
      <c r="P41" s="5">
        <f>3205.37</f>
        <v/>
      </c>
      <c r="Q41" s="5">
        <f>ROUND(P41/H41,2)</f>
        <v/>
      </c>
      <c r="R41" s="5">
        <f>IF(K41&gt;0,ROUND(H41/K41,2),999)</f>
        <v/>
      </c>
      <c r="S41" s="5" t="inlineStr">
        <is>
          <t>Pantry</t>
        </is>
      </c>
      <c r="T41" s="5" t="n">
        <v>215</v>
      </c>
      <c r="U41" s="5" t="n">
        <v>62</v>
      </c>
      <c r="V41" s="5" t="n">
        <v>5802</v>
      </c>
      <c r="W41" s="4" t="inlineStr">
        <is>
          <t>Subscription retention improving month-over-month.</t>
        </is>
      </c>
    </row>
    <row r="42">
      <c r="A42" s="2" t="inlineStr">
        <is>
          <t>2024-02-10</t>
        </is>
      </c>
      <c r="B42" s="2" t="inlineStr">
        <is>
          <t>Saturday</t>
        </is>
      </c>
      <c r="C42" s="2" t="n">
        <v>6</v>
      </c>
      <c r="D42" s="2" t="n">
        <v>2</v>
      </c>
      <c r="E42" s="2" t="n">
        <v>1</v>
      </c>
      <c r="F42" s="2" t="inlineStr">
        <is>
          <t>Winter</t>
        </is>
      </c>
      <c r="G42" s="2" t="inlineStr">
        <is>
          <t>Ramp-Up</t>
        </is>
      </c>
      <c r="H42" s="3">
        <f>984.01</f>
        <v/>
      </c>
      <c r="I42" s="3" t="n">
        <v>13961</v>
      </c>
      <c r="J42" s="3" t="n">
        <v>360</v>
      </c>
      <c r="K42" s="3">
        <f>ROUND(C42/I42*100,2)</f>
        <v/>
      </c>
      <c r="L42" s="3" t="n">
        <v>27</v>
      </c>
      <c r="M42" s="3" t="n">
        <v>7</v>
      </c>
      <c r="N42" s="3" t="n">
        <v>34</v>
      </c>
      <c r="O42" s="3">
        <f>ROUND(N42/J42*100,2)</f>
        <v/>
      </c>
      <c r="P42" s="3">
        <f>1726.45</f>
        <v/>
      </c>
      <c r="Q42" s="3">
        <f>ROUND(P42/H42,2)</f>
        <v/>
      </c>
      <c r="R42" s="3">
        <f>IF(K42&gt;0,ROUND(H42/K42,2),999)</f>
        <v/>
      </c>
      <c r="S42" s="3" t="inlineStr">
        <is>
          <t>Pantry</t>
        </is>
      </c>
      <c r="T42" s="3" t="n">
        <v>251</v>
      </c>
      <c r="U42" s="3" t="n">
        <v>64</v>
      </c>
      <c r="V42" s="3" t="n">
        <v>3497</v>
      </c>
      <c r="W42" s="2" t="inlineStr">
        <is>
          <t>Test of lifestyle content format underperforming, discontinued.</t>
        </is>
      </c>
    </row>
    <row r="43">
      <c r="A43" s="4" t="inlineStr">
        <is>
          <t>2024-02-11</t>
        </is>
      </c>
      <c r="B43" s="4" t="inlineStr">
        <is>
          <t>Sunday</t>
        </is>
      </c>
      <c r="C43" s="4" t="n">
        <v>6</v>
      </c>
      <c r="D43" s="4" t="n">
        <v>2</v>
      </c>
      <c r="E43" s="4" t="n">
        <v>1</v>
      </c>
      <c r="F43" s="4" t="inlineStr">
        <is>
          <t>Winter</t>
        </is>
      </c>
      <c r="G43" s="4" t="inlineStr">
        <is>
          <t>Ramp-Up</t>
        </is>
      </c>
      <c r="H43" s="5">
        <f>1109.37</f>
        <v/>
      </c>
      <c r="I43" s="5" t="n">
        <v>16264</v>
      </c>
      <c r="J43" s="5" t="n">
        <v>1019</v>
      </c>
      <c r="K43" s="5">
        <f>ROUND(C43/I43*100,2)</f>
        <v/>
      </c>
      <c r="L43" s="5" t="n">
        <v>61</v>
      </c>
      <c r="M43" s="5" t="n">
        <v>44</v>
      </c>
      <c r="N43" s="5" t="n">
        <v>105</v>
      </c>
      <c r="O43" s="5">
        <f>ROUND(N43/J43*100,2)</f>
        <v/>
      </c>
      <c r="P43" s="5">
        <f>5867.78</f>
        <v/>
      </c>
      <c r="Q43" s="5">
        <f>ROUND(P43/H43,2)</f>
        <v/>
      </c>
      <c r="R43" s="5">
        <f>IF(K43&gt;0,ROUND(H43/K43,2),999)</f>
        <v/>
      </c>
      <c r="S43" s="5" t="inlineStr">
        <is>
          <t>Pantry</t>
        </is>
      </c>
      <c r="T43" s="5" t="n">
        <v>742</v>
      </c>
      <c r="U43" s="5" t="n">
        <v>130</v>
      </c>
      <c r="V43" s="5" t="n">
        <v>5712</v>
      </c>
      <c r="W43" s="4" t="inlineStr">
        <is>
          <t>Email list fatigue evident, segment optimization recommended.</t>
        </is>
      </c>
    </row>
    <row r="44">
      <c r="A44" s="2" t="inlineStr">
        <is>
          <t>2024-02-12</t>
        </is>
      </c>
      <c r="B44" s="2" t="inlineStr">
        <is>
          <t>Monday</t>
        </is>
      </c>
      <c r="C44" s="2" t="n">
        <v>7</v>
      </c>
      <c r="D44" s="2" t="n">
        <v>2</v>
      </c>
      <c r="E44" s="2" t="n">
        <v>1</v>
      </c>
      <c r="F44" s="2" t="inlineStr">
        <is>
          <t>Winter</t>
        </is>
      </c>
      <c r="G44" s="2" t="inlineStr">
        <is>
          <t>Ramp-Up</t>
        </is>
      </c>
      <c r="H44" s="3">
        <f>1351.50</f>
        <v/>
      </c>
      <c r="I44" s="3" t="n">
        <v>11984</v>
      </c>
      <c r="J44" s="3" t="n">
        <v>602</v>
      </c>
      <c r="K44" s="3">
        <f>ROUND(C44/I44*100,2)</f>
        <v/>
      </c>
      <c r="L44" s="3" t="n">
        <v>63</v>
      </c>
      <c r="M44" s="3" t="n">
        <v>12</v>
      </c>
      <c r="N44" s="3" t="n">
        <v>75</v>
      </c>
      <c r="O44" s="3">
        <f>ROUND(N44/J44*100,2)</f>
        <v/>
      </c>
      <c r="P44" s="3">
        <f>4873.82</f>
        <v/>
      </c>
      <c r="Q44" s="3">
        <f>ROUND(P44/H44,2)</f>
        <v/>
      </c>
      <c r="R44" s="3">
        <f>IF(K44&gt;0,ROUND(H44/K44,2),999)</f>
        <v/>
      </c>
      <c r="S44" s="3" t="inlineStr">
        <is>
          <t>Meal Kit</t>
        </is>
      </c>
      <c r="T44" s="3" t="n">
        <v>459</v>
      </c>
      <c r="U44" s="3" t="n">
        <v>70</v>
      </c>
      <c r="V44" s="3" t="n">
        <v>2888</v>
      </c>
      <c r="W44" s="2" t="inlineStr">
        <is>
          <t>New TikTok creative launched, high initial impression share.</t>
        </is>
      </c>
    </row>
    <row r="45">
      <c r="A45" s="4" t="inlineStr">
        <is>
          <t>2024-02-13</t>
        </is>
      </c>
      <c r="B45" s="4" t="inlineStr">
        <is>
          <t>Tuesday</t>
        </is>
      </c>
      <c r="C45" s="4" t="n">
        <v>7</v>
      </c>
      <c r="D45" s="4" t="n">
        <v>2</v>
      </c>
      <c r="E45" s="4" t="n">
        <v>1</v>
      </c>
      <c r="F45" s="4" t="inlineStr">
        <is>
          <t>Winter</t>
        </is>
      </c>
      <c r="G45" s="4" t="inlineStr">
        <is>
          <t>Ramp-Up</t>
        </is>
      </c>
      <c r="H45" s="5">
        <f>1442.71</f>
        <v/>
      </c>
      <c r="I45" s="5" t="n">
        <v>19998</v>
      </c>
      <c r="J45" s="5" t="n">
        <v>544</v>
      </c>
      <c r="K45" s="5">
        <f>ROUND(C45/I45*100,2)</f>
        <v/>
      </c>
      <c r="L45" s="5" t="n">
        <v>60</v>
      </c>
      <c r="M45" s="5" t="n">
        <v>12</v>
      </c>
      <c r="N45" s="5" t="n">
        <v>72</v>
      </c>
      <c r="O45" s="5">
        <f>ROUND(N45/J45*100,2)</f>
        <v/>
      </c>
      <c r="P45" s="5">
        <f>4119.38</f>
        <v/>
      </c>
      <c r="Q45" s="5">
        <f>ROUND(P45/H45,2)</f>
        <v/>
      </c>
      <c r="R45" s="5">
        <f>IF(K45&gt;0,ROUND(H45/K45,2),999)</f>
        <v/>
      </c>
      <c r="S45" s="5" t="inlineStr">
        <is>
          <t>Meal Kit</t>
        </is>
      </c>
      <c r="T45" s="5" t="n">
        <v>394</v>
      </c>
      <c r="U45" s="5" t="n">
        <v>49</v>
      </c>
      <c r="V45" s="5" t="n">
        <v>7963</v>
      </c>
      <c r="W45" s="4" t="inlineStr">
        <is>
          <t>New TikTok creative launched, high initial impression share.</t>
        </is>
      </c>
    </row>
    <row r="46">
      <c r="A46" s="2" t="inlineStr">
        <is>
          <t>2024-02-14</t>
        </is>
      </c>
      <c r="B46" s="2" t="inlineStr">
        <is>
          <t>Wednesday</t>
        </is>
      </c>
      <c r="C46" s="2" t="n">
        <v>7</v>
      </c>
      <c r="D46" s="2" t="n">
        <v>2</v>
      </c>
      <c r="E46" s="2" t="n">
        <v>1</v>
      </c>
      <c r="F46" s="2" t="inlineStr">
        <is>
          <t>Winter</t>
        </is>
      </c>
      <c r="G46" s="2" t="inlineStr">
        <is>
          <t>Ramp-Up</t>
        </is>
      </c>
      <c r="H46" s="3">
        <f>1570.73</f>
        <v/>
      </c>
      <c r="I46" s="3" t="n">
        <v>17176</v>
      </c>
      <c r="J46" s="3" t="n">
        <v>868</v>
      </c>
      <c r="K46" s="3">
        <f>ROUND(C46/I46*100,2)</f>
        <v/>
      </c>
      <c r="L46" s="3" t="n">
        <v>92</v>
      </c>
      <c r="M46" s="3" t="n">
        <v>49</v>
      </c>
      <c r="N46" s="3" t="n">
        <v>141</v>
      </c>
      <c r="O46" s="3">
        <f>ROUND(N46/J46*100,2)</f>
        <v/>
      </c>
      <c r="P46" s="3">
        <f>6852.95</f>
        <v/>
      </c>
      <c r="Q46" s="3">
        <f>ROUND(P46/H46,2)</f>
        <v/>
      </c>
      <c r="R46" s="3">
        <f>IF(K46&gt;0,ROUND(H46/K46,2),999)</f>
        <v/>
      </c>
      <c r="S46" s="3" t="inlineStr">
        <is>
          <t>Snack Box</t>
        </is>
      </c>
      <c r="T46" s="3" t="n">
        <v>668</v>
      </c>
      <c r="U46" s="3" t="n">
        <v>98</v>
      </c>
      <c r="V46" s="3" t="n">
        <v>4041</v>
      </c>
      <c r="W46" s="2" t="inlineStr">
        <is>
          <t>New customer acquisition cost declining with better audience targeting.</t>
        </is>
      </c>
    </row>
    <row r="47">
      <c r="A47" s="4" t="inlineStr">
        <is>
          <t>2024-02-15</t>
        </is>
      </c>
      <c r="B47" s="4" t="inlineStr">
        <is>
          <t>Thursday</t>
        </is>
      </c>
      <c r="C47" s="4" t="n">
        <v>7</v>
      </c>
      <c r="D47" s="4" t="n">
        <v>2</v>
      </c>
      <c r="E47" s="4" t="n">
        <v>1</v>
      </c>
      <c r="F47" s="4" t="inlineStr">
        <is>
          <t>Winter</t>
        </is>
      </c>
      <c r="G47" s="4" t="inlineStr">
        <is>
          <t>Ramp-Up</t>
        </is>
      </c>
      <c r="H47" s="5">
        <f>1569.94</f>
        <v/>
      </c>
      <c r="I47" s="5" t="n">
        <v>21903</v>
      </c>
      <c r="J47" s="5" t="n">
        <v>1390</v>
      </c>
      <c r="K47" s="5">
        <f>ROUND(C47/I47*100,2)</f>
        <v/>
      </c>
      <c r="L47" s="5" t="n">
        <v>94</v>
      </c>
      <c r="M47" s="5" t="n">
        <v>29</v>
      </c>
      <c r="N47" s="5" t="n">
        <v>123</v>
      </c>
      <c r="O47" s="5">
        <f>ROUND(N47/J47*100,2)</f>
        <v/>
      </c>
      <c r="P47" s="5">
        <f>5838.06</f>
        <v/>
      </c>
      <c r="Q47" s="5">
        <f>ROUND(P47/H47,2)</f>
        <v/>
      </c>
      <c r="R47" s="5">
        <f>IF(K47&gt;0,ROUND(H47/K47,2),999)</f>
        <v/>
      </c>
      <c r="S47" s="5" t="inlineStr">
        <is>
          <t>Pantry</t>
        </is>
      </c>
      <c r="T47" s="5" t="n">
        <v>463</v>
      </c>
      <c r="U47" s="5" t="n">
        <v>173</v>
      </c>
      <c r="V47" s="5" t="n">
        <v>7958</v>
      </c>
      <c r="W47" s="4" t="inlineStr">
        <is>
          <t>Display network efficiency improved after audience refinement.</t>
        </is>
      </c>
    </row>
    <row r="48">
      <c r="A48" s="2" t="inlineStr">
        <is>
          <t>2024-02-16</t>
        </is>
      </c>
      <c r="B48" s="2" t="inlineStr">
        <is>
          <t>Friday</t>
        </is>
      </c>
      <c r="C48" s="2" t="n">
        <v>7</v>
      </c>
      <c r="D48" s="2" t="n">
        <v>2</v>
      </c>
      <c r="E48" s="2" t="n">
        <v>1</v>
      </c>
      <c r="F48" s="2" t="inlineStr">
        <is>
          <t>Winter</t>
        </is>
      </c>
      <c r="G48" s="2" t="inlineStr">
        <is>
          <t>Ramp-Up</t>
        </is>
      </c>
      <c r="H48" s="3">
        <f>1706.92</f>
        <v/>
      </c>
      <c r="I48" s="3" t="n">
        <v>17511</v>
      </c>
      <c r="J48" s="3" t="n">
        <v>631</v>
      </c>
      <c r="K48" s="3">
        <f>ROUND(C48/I48*100,2)</f>
        <v/>
      </c>
      <c r="L48" s="3" t="n">
        <v>50</v>
      </c>
      <c r="M48" s="3" t="n">
        <v>30</v>
      </c>
      <c r="N48" s="3" t="n">
        <v>80</v>
      </c>
      <c r="O48" s="3">
        <f>ROUND(N48/J48*100,2)</f>
        <v/>
      </c>
      <c r="P48" s="3">
        <f>3632.08</f>
        <v/>
      </c>
      <c r="Q48" s="3">
        <f>ROUND(P48/H48,2)</f>
        <v/>
      </c>
      <c r="R48" s="3">
        <f>IF(K48&gt;0,ROUND(H48/K48,2),999)</f>
        <v/>
      </c>
      <c r="S48" s="3" t="inlineStr">
        <is>
          <t>Snack Box</t>
        </is>
      </c>
      <c r="T48" s="3" t="n">
        <v>485</v>
      </c>
      <c r="U48" s="3" t="n">
        <v>83</v>
      </c>
      <c r="V48" s="3" t="n">
        <v>1846</v>
      </c>
      <c r="W48" s="2" t="inlineStr">
        <is>
          <t>New customer acquisition cost declining with better audience targeting.</t>
        </is>
      </c>
    </row>
    <row r="49">
      <c r="A49" s="4" t="inlineStr">
        <is>
          <t>2024-02-17</t>
        </is>
      </c>
      <c r="B49" s="4" t="inlineStr">
        <is>
          <t>Saturday</t>
        </is>
      </c>
      <c r="C49" s="4" t="n">
        <v>7</v>
      </c>
      <c r="D49" s="4" t="n">
        <v>2</v>
      </c>
      <c r="E49" s="4" t="n">
        <v>1</v>
      </c>
      <c r="F49" s="4" t="inlineStr">
        <is>
          <t>Winter</t>
        </is>
      </c>
      <c r="G49" s="4" t="inlineStr">
        <is>
          <t>Ramp-Up</t>
        </is>
      </c>
      <c r="H49" s="5">
        <f>1149.79</f>
        <v/>
      </c>
      <c r="I49" s="5" t="n">
        <v>9539</v>
      </c>
      <c r="J49" s="5" t="n">
        <v>249</v>
      </c>
      <c r="K49" s="5">
        <f>ROUND(C49/I49*100,2)</f>
        <v/>
      </c>
      <c r="L49" s="5" t="n">
        <v>28</v>
      </c>
      <c r="M49" s="5" t="n">
        <v>14</v>
      </c>
      <c r="N49" s="5" t="n">
        <v>42</v>
      </c>
      <c r="O49" s="5">
        <f>ROUND(N49/J49*100,2)</f>
        <v/>
      </c>
      <c r="P49" s="5">
        <f>1893.53</f>
        <v/>
      </c>
      <c r="Q49" s="5">
        <f>ROUND(P49/H49,2)</f>
        <v/>
      </c>
      <c r="R49" s="5">
        <f>IF(K49&gt;0,ROUND(H49/K49,2),999)</f>
        <v/>
      </c>
      <c r="S49" s="5" t="inlineStr">
        <is>
          <t>Meal Kit</t>
        </is>
      </c>
      <c r="T49" s="5" t="n">
        <v>114</v>
      </c>
      <c r="U49" s="5" t="n">
        <v>57</v>
      </c>
      <c r="V49" s="5" t="n">
        <v>3811</v>
      </c>
      <c r="W49" s="4" t="inlineStr">
        <is>
          <t>Bundle promotion resonating with families segment.</t>
        </is>
      </c>
    </row>
    <row r="50">
      <c r="A50" s="2" t="inlineStr">
        <is>
          <t>2024-02-18</t>
        </is>
      </c>
      <c r="B50" s="2" t="inlineStr">
        <is>
          <t>Sunday</t>
        </is>
      </c>
      <c r="C50" s="2" t="n">
        <v>7</v>
      </c>
      <c r="D50" s="2" t="n">
        <v>2</v>
      </c>
      <c r="E50" s="2" t="n">
        <v>1</v>
      </c>
      <c r="F50" s="2" t="inlineStr">
        <is>
          <t>Winter</t>
        </is>
      </c>
      <c r="G50" s="2" t="inlineStr">
        <is>
          <t>Ramp-Up</t>
        </is>
      </c>
      <c r="H50" s="3">
        <f>1201.82</f>
        <v/>
      </c>
      <c r="I50" s="3" t="n">
        <v>15393</v>
      </c>
      <c r="J50" s="3" t="n">
        <v>338</v>
      </c>
      <c r="K50" s="3">
        <f>ROUND(C50/I50*100,2)</f>
        <v/>
      </c>
      <c r="L50" s="3" t="n">
        <v>19</v>
      </c>
      <c r="M50" s="3" t="n">
        <v>16</v>
      </c>
      <c r="N50" s="3" t="n">
        <v>35</v>
      </c>
      <c r="O50" s="3">
        <f>ROUND(N50/J50*100,2)</f>
        <v/>
      </c>
      <c r="P50" s="3">
        <f>1845.37</f>
        <v/>
      </c>
      <c r="Q50" s="3">
        <f>ROUND(P50/H50,2)</f>
        <v/>
      </c>
      <c r="R50" s="3">
        <f>IF(K50&gt;0,ROUND(H50/K50,2),999)</f>
        <v/>
      </c>
      <c r="S50" s="3" t="inlineStr">
        <is>
          <t>Snack Box</t>
        </is>
      </c>
      <c r="T50" s="3" t="n">
        <v>193</v>
      </c>
      <c r="U50" s="3" t="n">
        <v>27</v>
      </c>
      <c r="V50" s="3" t="n">
        <v>2813</v>
      </c>
      <c r="W50" s="2" t="inlineStr">
        <is>
          <t>Retargeting campaign paused for fatigue analysis.</t>
        </is>
      </c>
    </row>
    <row r="51">
      <c r="A51" s="4" t="inlineStr">
        <is>
          <t>2024-02-19</t>
        </is>
      </c>
      <c r="B51" s="4" t="inlineStr">
        <is>
          <t>Monday</t>
        </is>
      </c>
      <c r="C51" s="4" t="n">
        <v>8</v>
      </c>
      <c r="D51" s="4" t="n">
        <v>2</v>
      </c>
      <c r="E51" s="4" t="n">
        <v>1</v>
      </c>
      <c r="F51" s="4" t="inlineStr">
        <is>
          <t>Winter</t>
        </is>
      </c>
      <c r="G51" s="4" t="inlineStr">
        <is>
          <t>Ramp-Up</t>
        </is>
      </c>
      <c r="H51" s="5">
        <f>1711.14</f>
        <v/>
      </c>
      <c r="I51" s="5" t="n">
        <v>23475</v>
      </c>
      <c r="J51" s="5" t="n">
        <v>544</v>
      </c>
      <c r="K51" s="5">
        <f>ROUND(C51/I51*100,2)</f>
        <v/>
      </c>
      <c r="L51" s="5" t="n">
        <v>65</v>
      </c>
      <c r="M51" s="5" t="n">
        <v>26</v>
      </c>
      <c r="N51" s="5" t="n">
        <v>91</v>
      </c>
      <c r="O51" s="5">
        <f>ROUND(N51/J51*100,2)</f>
        <v/>
      </c>
      <c r="P51" s="5">
        <f>4805.94</f>
        <v/>
      </c>
      <c r="Q51" s="5">
        <f>ROUND(P51/H51,2)</f>
        <v/>
      </c>
      <c r="R51" s="5">
        <f>IF(K51&gt;0,ROUND(H51/K51,2),999)</f>
        <v/>
      </c>
      <c r="S51" s="5" t="inlineStr">
        <is>
          <t>Snack Box</t>
        </is>
      </c>
      <c r="T51" s="5" t="n">
        <v>354</v>
      </c>
      <c r="U51" s="5" t="n">
        <v>109</v>
      </c>
      <c r="V51" s="5" t="n">
        <v>6079</v>
      </c>
      <c r="W51" s="4" t="inlineStr">
        <is>
          <t>Meta lookalike audience expansion successful.</t>
        </is>
      </c>
    </row>
    <row r="52">
      <c r="A52" s="2" t="inlineStr">
        <is>
          <t>2024-02-20</t>
        </is>
      </c>
      <c r="B52" s="2" t="inlineStr">
        <is>
          <t>Tuesday</t>
        </is>
      </c>
      <c r="C52" s="2" t="n">
        <v>8</v>
      </c>
      <c r="D52" s="2" t="n">
        <v>2</v>
      </c>
      <c r="E52" s="2" t="n">
        <v>1</v>
      </c>
      <c r="F52" s="2" t="inlineStr">
        <is>
          <t>Winter</t>
        </is>
      </c>
      <c r="G52" s="2" t="inlineStr">
        <is>
          <t>Ramp-Up</t>
        </is>
      </c>
      <c r="H52" s="3">
        <f>1324.34</f>
        <v/>
      </c>
      <c r="I52" s="3" t="n">
        <v>18803</v>
      </c>
      <c r="J52" s="3" t="n">
        <v>459</v>
      </c>
      <c r="K52" s="3">
        <f>ROUND(C52/I52*100,2)</f>
        <v/>
      </c>
      <c r="L52" s="3" t="n">
        <v>50</v>
      </c>
      <c r="M52" s="3" t="n">
        <v>20</v>
      </c>
      <c r="N52" s="3" t="n">
        <v>70</v>
      </c>
      <c r="O52" s="3">
        <f>ROUND(N52/J52*100,2)</f>
        <v/>
      </c>
      <c r="P52" s="3">
        <f>4081.91</f>
        <v/>
      </c>
      <c r="Q52" s="3">
        <f>ROUND(P52/H52,2)</f>
        <v/>
      </c>
      <c r="R52" s="3">
        <f>IF(K52&gt;0,ROUND(H52/K52,2),999)</f>
        <v/>
      </c>
      <c r="S52" s="3" t="inlineStr">
        <is>
          <t>Meal Kit</t>
        </is>
      </c>
      <c r="T52" s="3" t="n">
        <v>170</v>
      </c>
      <c r="U52" s="3" t="n">
        <v>75</v>
      </c>
      <c r="V52" s="3" t="n">
        <v>2288</v>
      </c>
      <c r="W52" s="2" t="inlineStr">
        <is>
          <t>Mobile conversion rate optimization showing 12% improvement.</t>
        </is>
      </c>
    </row>
    <row r="53">
      <c r="A53" s="4" t="inlineStr">
        <is>
          <t>2024-02-21</t>
        </is>
      </c>
      <c r="B53" s="4" t="inlineStr">
        <is>
          <t>Wednesday</t>
        </is>
      </c>
      <c r="C53" s="4" t="n">
        <v>8</v>
      </c>
      <c r="D53" s="4" t="n">
        <v>2</v>
      </c>
      <c r="E53" s="4" t="n">
        <v>1</v>
      </c>
      <c r="F53" s="4" t="inlineStr">
        <is>
          <t>Winter</t>
        </is>
      </c>
      <c r="G53" s="4" t="inlineStr">
        <is>
          <t>Ramp-Up</t>
        </is>
      </c>
      <c r="H53" s="5">
        <f>1407.82</f>
        <v/>
      </c>
      <c r="I53" s="5" t="n">
        <v>16002</v>
      </c>
      <c r="J53" s="5" t="n">
        <v>1047</v>
      </c>
      <c r="K53" s="5">
        <f>ROUND(C53/I53*100,2)</f>
        <v/>
      </c>
      <c r="L53" s="5" t="n">
        <v>63</v>
      </c>
      <c r="M53" s="5" t="n">
        <v>40</v>
      </c>
      <c r="N53" s="5" t="n">
        <v>103</v>
      </c>
      <c r="O53" s="5">
        <f>ROUND(N53/J53*100,2)</f>
        <v/>
      </c>
      <c r="P53" s="5">
        <f>6574.48</f>
        <v/>
      </c>
      <c r="Q53" s="5">
        <f>ROUND(P53/H53,2)</f>
        <v/>
      </c>
      <c r="R53" s="5">
        <f>IF(K53&gt;0,ROUND(H53/K53,2),999)</f>
        <v/>
      </c>
      <c r="S53" s="5" t="inlineStr">
        <is>
          <t>Meal Kit</t>
        </is>
      </c>
      <c r="T53" s="5" t="n">
        <v>704</v>
      </c>
      <c r="U53" s="5" t="n">
        <v>111</v>
      </c>
      <c r="V53" s="5" t="n">
        <v>5954</v>
      </c>
      <c r="W53" s="4" t="inlineStr">
        <is>
          <t>High-intent keyword performance exceeding benchmarks.</t>
        </is>
      </c>
    </row>
    <row r="54">
      <c r="A54" s="2" t="inlineStr">
        <is>
          <t>2024-02-22</t>
        </is>
      </c>
      <c r="B54" s="2" t="inlineStr">
        <is>
          <t>Thursday</t>
        </is>
      </c>
      <c r="C54" s="2" t="n">
        <v>8</v>
      </c>
      <c r="D54" s="2" t="n">
        <v>2</v>
      </c>
      <c r="E54" s="2" t="n">
        <v>1</v>
      </c>
      <c r="F54" s="2" t="inlineStr">
        <is>
          <t>Winter</t>
        </is>
      </c>
      <c r="G54" s="2" t="inlineStr">
        <is>
          <t>Ramp-Up</t>
        </is>
      </c>
      <c r="H54" s="3">
        <f>1569.30</f>
        <v/>
      </c>
      <c r="I54" s="3" t="n">
        <v>20987</v>
      </c>
      <c r="J54" s="3" t="n">
        <v>621</v>
      </c>
      <c r="K54" s="3">
        <f>ROUND(C54/I54*100,2)</f>
        <v/>
      </c>
      <c r="L54" s="3" t="n">
        <v>66</v>
      </c>
      <c r="M54" s="3" t="n">
        <v>18</v>
      </c>
      <c r="N54" s="3" t="n">
        <v>84</v>
      </c>
      <c r="O54" s="3">
        <f>ROUND(N54/J54*100,2)</f>
        <v/>
      </c>
      <c r="P54" s="3">
        <f>5136.53</f>
        <v/>
      </c>
      <c r="Q54" s="3">
        <f>ROUND(P54/H54,2)</f>
        <v/>
      </c>
      <c r="R54" s="3">
        <f>IF(K54&gt;0,ROUND(H54/K54,2),999)</f>
        <v/>
      </c>
      <c r="S54" s="3" t="inlineStr">
        <is>
          <t>Snack Box</t>
        </is>
      </c>
      <c r="T54" s="3" t="n">
        <v>307</v>
      </c>
      <c r="U54" s="3" t="n">
        <v>59</v>
      </c>
      <c r="V54" s="3" t="n">
        <v>8373</v>
      </c>
      <c r="W54" s="2" t="inlineStr">
        <is>
          <t>High-intent keyword performance exceeding benchmarks.</t>
        </is>
      </c>
    </row>
    <row r="55">
      <c r="A55" s="4" t="inlineStr">
        <is>
          <t>2024-02-23</t>
        </is>
      </c>
      <c r="B55" s="4" t="inlineStr">
        <is>
          <t>Friday</t>
        </is>
      </c>
      <c r="C55" s="4" t="n">
        <v>8</v>
      </c>
      <c r="D55" s="4" t="n">
        <v>2</v>
      </c>
      <c r="E55" s="4" t="n">
        <v>1</v>
      </c>
      <c r="F55" s="4" t="inlineStr">
        <is>
          <t>Winter</t>
        </is>
      </c>
      <c r="G55" s="4" t="inlineStr">
        <is>
          <t>Ramp-Up</t>
        </is>
      </c>
      <c r="H55" s="5">
        <f>1428.89</f>
        <v/>
      </c>
      <c r="I55" s="5" t="n">
        <v>13517</v>
      </c>
      <c r="J55" s="5" t="n">
        <v>632</v>
      </c>
      <c r="K55" s="5">
        <f>ROUND(C55/I55*100,2)</f>
        <v/>
      </c>
      <c r="L55" s="5" t="n">
        <v>38</v>
      </c>
      <c r="M55" s="5" t="n">
        <v>19</v>
      </c>
      <c r="N55" s="5" t="n">
        <v>57</v>
      </c>
      <c r="O55" s="5">
        <f>ROUND(N55/J55*100,2)</f>
        <v/>
      </c>
      <c r="P55" s="5">
        <f>3680.04</f>
        <v/>
      </c>
      <c r="Q55" s="5">
        <f>ROUND(P55/H55,2)</f>
        <v/>
      </c>
      <c r="R55" s="5">
        <f>IF(K55&gt;0,ROUND(H55/K55,2),999)</f>
        <v/>
      </c>
      <c r="S55" s="5" t="inlineStr">
        <is>
          <t>Meal Kit</t>
        </is>
      </c>
      <c r="T55" s="5" t="n">
        <v>256</v>
      </c>
      <c r="U55" s="5" t="n">
        <v>70</v>
      </c>
      <c r="V55" s="5" t="n">
        <v>5190</v>
      </c>
      <c r="W55" s="4" t="inlineStr">
        <is>
          <t>New customer acquisition cost declining with better audience targeting.</t>
        </is>
      </c>
    </row>
    <row r="56">
      <c r="A56" s="2" t="inlineStr">
        <is>
          <t>2024-02-24</t>
        </is>
      </c>
      <c r="B56" s="2" t="inlineStr">
        <is>
          <t>Saturday</t>
        </is>
      </c>
      <c r="C56" s="2" t="n">
        <v>8</v>
      </c>
      <c r="D56" s="2" t="n">
        <v>2</v>
      </c>
      <c r="E56" s="2" t="n">
        <v>1</v>
      </c>
      <c r="F56" s="2" t="inlineStr">
        <is>
          <t>Winter</t>
        </is>
      </c>
      <c r="G56" s="2" t="inlineStr">
        <is>
          <t>Ramp-Up</t>
        </is>
      </c>
      <c r="H56" s="3">
        <f>1132.29</f>
        <v/>
      </c>
      <c r="I56" s="3" t="n">
        <v>16537</v>
      </c>
      <c r="J56" s="3" t="n">
        <v>1227</v>
      </c>
      <c r="K56" s="3">
        <f>ROUND(C56/I56*100,2)</f>
        <v/>
      </c>
      <c r="L56" s="3" t="n">
        <v>146</v>
      </c>
      <c r="M56" s="3" t="n">
        <v>63</v>
      </c>
      <c r="N56" s="3" t="n">
        <v>209</v>
      </c>
      <c r="O56" s="3">
        <f>ROUND(N56/J56*100,2)</f>
        <v/>
      </c>
      <c r="P56" s="3">
        <f>12838.32</f>
        <v/>
      </c>
      <c r="Q56" s="3">
        <f>ROUND(P56/H56,2)</f>
        <v/>
      </c>
      <c r="R56" s="3">
        <f>IF(K56&gt;0,ROUND(H56/K56,2),999)</f>
        <v/>
      </c>
      <c r="S56" s="3" t="inlineStr">
        <is>
          <t>Meal Kit</t>
        </is>
      </c>
      <c r="T56" s="3" t="n">
        <v>574</v>
      </c>
      <c r="U56" s="3" t="n">
        <v>168</v>
      </c>
      <c r="V56" s="3" t="n">
        <v>2171</v>
      </c>
      <c r="W56" s="2" t="inlineStr">
        <is>
          <t>Budget reallocation to top-performing Google Shopping ads.</t>
        </is>
      </c>
    </row>
    <row r="57">
      <c r="A57" s="4" t="inlineStr">
        <is>
          <t>2024-02-25</t>
        </is>
      </c>
      <c r="B57" s="4" t="inlineStr">
        <is>
          <t>Sunday</t>
        </is>
      </c>
      <c r="C57" s="4" t="n">
        <v>8</v>
      </c>
      <c r="D57" s="4" t="n">
        <v>2</v>
      </c>
      <c r="E57" s="4" t="n">
        <v>1</v>
      </c>
      <c r="F57" s="4" t="inlineStr">
        <is>
          <t>Winter</t>
        </is>
      </c>
      <c r="G57" s="4" t="inlineStr">
        <is>
          <t>Ramp-Up</t>
        </is>
      </c>
      <c r="H57" s="5">
        <f>1095.23</f>
        <v/>
      </c>
      <c r="I57" s="5" t="n">
        <v>10361</v>
      </c>
      <c r="J57" s="5" t="n">
        <v>461</v>
      </c>
      <c r="K57" s="5">
        <f>ROUND(C57/I57*100,2)</f>
        <v/>
      </c>
      <c r="L57" s="5" t="n">
        <v>29</v>
      </c>
      <c r="M57" s="5" t="n">
        <v>12</v>
      </c>
      <c r="N57" s="5" t="n">
        <v>41</v>
      </c>
      <c r="O57" s="5">
        <f>ROUND(N57/J57*100,2)</f>
        <v/>
      </c>
      <c r="P57" s="5">
        <f>2567.18</f>
        <v/>
      </c>
      <c r="Q57" s="5">
        <f>ROUND(P57/H57,2)</f>
        <v/>
      </c>
      <c r="R57" s="5">
        <f>IF(K57&gt;0,ROUND(H57/K57,2),999)</f>
        <v/>
      </c>
      <c r="S57" s="5" t="inlineStr">
        <is>
          <t>Snack Box</t>
        </is>
      </c>
      <c r="T57" s="5" t="n">
        <v>154</v>
      </c>
      <c r="U57" s="5" t="n">
        <v>24</v>
      </c>
      <c r="V57" s="5" t="n">
        <v>2478</v>
      </c>
      <c r="W57" s="4" t="inlineStr">
        <is>
          <t>Meta lookalike audience expansion successful.</t>
        </is>
      </c>
    </row>
    <row r="58">
      <c r="A58" s="2" t="inlineStr">
        <is>
          <t>2024-02-26</t>
        </is>
      </c>
      <c r="B58" s="2" t="inlineStr">
        <is>
          <t>Monday</t>
        </is>
      </c>
      <c r="C58" s="2" t="n">
        <v>9</v>
      </c>
      <c r="D58" s="2" t="n">
        <v>2</v>
      </c>
      <c r="E58" s="2" t="n">
        <v>1</v>
      </c>
      <c r="F58" s="2" t="inlineStr">
        <is>
          <t>Winter</t>
        </is>
      </c>
      <c r="G58" s="2" t="inlineStr">
        <is>
          <t>Ramp-Up</t>
        </is>
      </c>
      <c r="H58" s="3">
        <f>1627.32</f>
        <v/>
      </c>
      <c r="I58" s="3" t="n">
        <v>19293</v>
      </c>
      <c r="J58" s="3" t="n">
        <v>744</v>
      </c>
      <c r="K58" s="3">
        <f>ROUND(C58/I58*100,2)</f>
        <v/>
      </c>
      <c r="L58" s="3" t="n">
        <v>40</v>
      </c>
      <c r="M58" s="3" t="n">
        <v>39</v>
      </c>
      <c r="N58" s="3" t="n">
        <v>79</v>
      </c>
      <c r="O58" s="3">
        <f>ROUND(N58/J58*100,2)</f>
        <v/>
      </c>
      <c r="P58" s="3">
        <f>4212.20</f>
        <v/>
      </c>
      <c r="Q58" s="3">
        <f>ROUND(P58/H58,2)</f>
        <v/>
      </c>
      <c r="R58" s="3">
        <f>IF(K58&gt;0,ROUND(H58/K58,2),999)</f>
        <v/>
      </c>
      <c r="S58" s="3" t="inlineStr">
        <is>
          <t>Meal Kit</t>
        </is>
      </c>
      <c r="T58" s="3" t="n">
        <v>454</v>
      </c>
      <c r="U58" s="3" t="n">
        <v>95</v>
      </c>
      <c r="V58" s="3" t="n">
        <v>3798</v>
      </c>
      <c r="W58" s="2" t="inlineStr">
        <is>
          <t>High-intent keyword performance exceeding benchmarks.</t>
        </is>
      </c>
    </row>
    <row r="59">
      <c r="A59" s="4" t="inlineStr">
        <is>
          <t>2024-02-27</t>
        </is>
      </c>
      <c r="B59" s="4" t="inlineStr">
        <is>
          <t>Tuesday</t>
        </is>
      </c>
      <c r="C59" s="4" t="n">
        <v>9</v>
      </c>
      <c r="D59" s="4" t="n">
        <v>2</v>
      </c>
      <c r="E59" s="4" t="n">
        <v>1</v>
      </c>
      <c r="F59" s="4" t="inlineStr">
        <is>
          <t>Winter</t>
        </is>
      </c>
      <c r="G59" s="4" t="inlineStr">
        <is>
          <t>Ramp-Up</t>
        </is>
      </c>
      <c r="H59" s="5">
        <f>1511.73</f>
        <v/>
      </c>
      <c r="I59" s="5" t="n">
        <v>15244</v>
      </c>
      <c r="J59" s="5" t="n">
        <v>1023</v>
      </c>
      <c r="K59" s="5">
        <f>ROUND(C59/I59*100,2)</f>
        <v/>
      </c>
      <c r="L59" s="5" t="n">
        <v>108</v>
      </c>
      <c r="M59" s="5" t="n">
        <v>45</v>
      </c>
      <c r="N59" s="5" t="n">
        <v>153</v>
      </c>
      <c r="O59" s="5">
        <f>ROUND(N59/J59*100,2)</f>
        <v/>
      </c>
      <c r="P59" s="5">
        <f>9337.56</f>
        <v/>
      </c>
      <c r="Q59" s="5">
        <f>ROUND(P59/H59,2)</f>
        <v/>
      </c>
      <c r="R59" s="5">
        <f>IF(K59&gt;0,ROUND(H59/K59,2),999)</f>
        <v/>
      </c>
      <c r="S59" s="5" t="inlineStr">
        <is>
          <t>Meal Kit</t>
        </is>
      </c>
      <c r="T59" s="5" t="n">
        <v>532</v>
      </c>
      <c r="U59" s="5" t="n">
        <v>222</v>
      </c>
      <c r="V59" s="5" t="n">
        <v>3937</v>
      </c>
      <c r="W59" s="4" t="inlineStr">
        <is>
          <t>Seasonal surge in health-conscious persona segments.</t>
        </is>
      </c>
    </row>
    <row r="60">
      <c r="A60" s="2" t="inlineStr">
        <is>
          <t>2024-02-28</t>
        </is>
      </c>
      <c r="B60" s="2" t="inlineStr">
        <is>
          <t>Wednesday</t>
        </is>
      </c>
      <c r="C60" s="2" t="n">
        <v>9</v>
      </c>
      <c r="D60" s="2" t="n">
        <v>2</v>
      </c>
      <c r="E60" s="2" t="n">
        <v>1</v>
      </c>
      <c r="F60" s="2" t="inlineStr">
        <is>
          <t>Winter</t>
        </is>
      </c>
      <c r="G60" s="2" t="inlineStr">
        <is>
          <t>Ramp-Up</t>
        </is>
      </c>
      <c r="H60" s="3">
        <f>1573.03</f>
        <v/>
      </c>
      <c r="I60" s="3" t="n">
        <v>19659</v>
      </c>
      <c r="J60" s="3" t="n">
        <v>1359</v>
      </c>
      <c r="K60" s="3">
        <f>ROUND(C60/I60*100,2)</f>
        <v/>
      </c>
      <c r="L60" s="3" t="n">
        <v>98</v>
      </c>
      <c r="M60" s="3" t="n">
        <v>44</v>
      </c>
      <c r="N60" s="3" t="n">
        <v>142</v>
      </c>
      <c r="O60" s="3">
        <f>ROUND(N60/J60*100,2)</f>
        <v/>
      </c>
      <c r="P60" s="3">
        <f>8442.26</f>
        <v/>
      </c>
      <c r="Q60" s="3">
        <f>ROUND(P60/H60,2)</f>
        <v/>
      </c>
      <c r="R60" s="3">
        <f>IF(K60&gt;0,ROUND(H60/K60,2),999)</f>
        <v/>
      </c>
      <c r="S60" s="3" t="inlineStr">
        <is>
          <t>Snack Box</t>
        </is>
      </c>
      <c r="T60" s="3" t="n">
        <v>589</v>
      </c>
      <c r="U60" s="3" t="n">
        <v>209</v>
      </c>
      <c r="V60" s="3" t="n">
        <v>4626</v>
      </c>
      <c r="W60" s="2" t="inlineStr">
        <is>
          <t>Email list fatigue evident, segment optimization recommended.</t>
        </is>
      </c>
    </row>
    <row r="61">
      <c r="A61" s="4" t="inlineStr">
        <is>
          <t>2024-02-29</t>
        </is>
      </c>
      <c r="B61" s="4" t="inlineStr">
        <is>
          <t>Thursday</t>
        </is>
      </c>
      <c r="C61" s="4" t="n">
        <v>9</v>
      </c>
      <c r="D61" s="4" t="n">
        <v>2</v>
      </c>
      <c r="E61" s="4" t="n">
        <v>1</v>
      </c>
      <c r="F61" s="4" t="inlineStr">
        <is>
          <t>Winter</t>
        </is>
      </c>
      <c r="G61" s="4" t="inlineStr">
        <is>
          <t>Ramp-Up</t>
        </is>
      </c>
      <c r="H61" s="5">
        <f>1319.52</f>
        <v/>
      </c>
      <c r="I61" s="5" t="n">
        <v>11249</v>
      </c>
      <c r="J61" s="5" t="n">
        <v>691</v>
      </c>
      <c r="K61" s="5">
        <f>ROUND(C61/I61*100,2)</f>
        <v/>
      </c>
      <c r="L61" s="5" t="n">
        <v>77</v>
      </c>
      <c r="M61" s="5" t="n">
        <v>16</v>
      </c>
      <c r="N61" s="5" t="n">
        <v>93</v>
      </c>
      <c r="O61" s="5">
        <f>ROUND(N61/J61*100,2)</f>
        <v/>
      </c>
      <c r="P61" s="5">
        <f>5887.76</f>
        <v/>
      </c>
      <c r="Q61" s="5">
        <f>ROUND(P61/H61,2)</f>
        <v/>
      </c>
      <c r="R61" s="5">
        <f>IF(K61&gt;0,ROUND(H61/K61,2),999)</f>
        <v/>
      </c>
      <c r="S61" s="5" t="inlineStr">
        <is>
          <t>Meal Kit</t>
        </is>
      </c>
      <c r="T61" s="5" t="n">
        <v>217</v>
      </c>
      <c r="U61" s="5" t="n">
        <v>124</v>
      </c>
      <c r="V61" s="5" t="n">
        <v>1715</v>
      </c>
      <c r="W61" s="4" t="inlineStr">
        <is>
          <t>Email list fatigue evident, segment optimization recommended.</t>
        </is>
      </c>
    </row>
    <row r="62">
      <c r="A62" s="2" t="inlineStr">
        <is>
          <t>2024-03-01</t>
        </is>
      </c>
      <c r="B62" s="2" t="inlineStr">
        <is>
          <t>Friday</t>
        </is>
      </c>
      <c r="C62" s="2" t="n">
        <v>9</v>
      </c>
      <c r="D62" s="2" t="n">
        <v>3</v>
      </c>
      <c r="E62" s="2" t="n">
        <v>1</v>
      </c>
      <c r="F62" s="2" t="inlineStr">
        <is>
          <t>Spring</t>
        </is>
      </c>
      <c r="G62" s="2" t="inlineStr">
        <is>
          <t>Ramp-Up</t>
        </is>
      </c>
      <c r="H62" s="3">
        <f>1505.34</f>
        <v/>
      </c>
      <c r="I62" s="3" t="n">
        <v>17838</v>
      </c>
      <c r="J62" s="3" t="n">
        <v>1099</v>
      </c>
      <c r="K62" s="3">
        <f>ROUND(C62/I62*100,2)</f>
        <v/>
      </c>
      <c r="L62" s="3" t="n">
        <v>86</v>
      </c>
      <c r="M62" s="3" t="n">
        <v>48</v>
      </c>
      <c r="N62" s="3" t="n">
        <v>134</v>
      </c>
      <c r="O62" s="3">
        <f>ROUND(N62/J62*100,2)</f>
        <v/>
      </c>
      <c r="P62" s="3">
        <f>8386.84</f>
        <v/>
      </c>
      <c r="Q62" s="3">
        <f>ROUND(P62/H62,2)</f>
        <v/>
      </c>
      <c r="R62" s="3">
        <f>IF(K62&gt;0,ROUND(H62/K62,2),999)</f>
        <v/>
      </c>
      <c r="S62" s="3" t="inlineStr">
        <is>
          <t>Snack Box</t>
        </is>
      </c>
      <c r="T62" s="3" t="n">
        <v>448</v>
      </c>
      <c r="U62" s="3" t="n">
        <v>236</v>
      </c>
      <c r="V62" s="3" t="n">
        <v>4906</v>
      </c>
      <c r="W62" s="2" t="inlineStr">
        <is>
          <t>Tuesday peak for email nurture campaigns.</t>
        </is>
      </c>
    </row>
    <row r="63">
      <c r="A63" s="4" t="inlineStr">
        <is>
          <t>2024-03-02</t>
        </is>
      </c>
      <c r="B63" s="4" t="inlineStr">
        <is>
          <t>Saturday</t>
        </is>
      </c>
      <c r="C63" s="4" t="n">
        <v>9</v>
      </c>
      <c r="D63" s="4" t="n">
        <v>3</v>
      </c>
      <c r="E63" s="4" t="n">
        <v>1</v>
      </c>
      <c r="F63" s="4" t="inlineStr">
        <is>
          <t>Spring</t>
        </is>
      </c>
      <c r="G63" s="4" t="inlineStr">
        <is>
          <t>Ramp-Up</t>
        </is>
      </c>
      <c r="H63" s="5">
        <f>961.35</f>
        <v/>
      </c>
      <c r="I63" s="5" t="n">
        <v>11385</v>
      </c>
      <c r="J63" s="5" t="n">
        <v>266</v>
      </c>
      <c r="K63" s="5">
        <f>ROUND(C63/I63*100,2)</f>
        <v/>
      </c>
      <c r="L63" s="5" t="n">
        <v>18</v>
      </c>
      <c r="M63" s="5" t="n">
        <v>11</v>
      </c>
      <c r="N63" s="5" t="n">
        <v>29</v>
      </c>
      <c r="O63" s="5">
        <f>ROUND(N63/J63*100,2)</f>
        <v/>
      </c>
      <c r="P63" s="5">
        <f>1342.96</f>
        <v/>
      </c>
      <c r="Q63" s="5">
        <f>ROUND(P63/H63,2)</f>
        <v/>
      </c>
      <c r="R63" s="5">
        <f>IF(K63&gt;0,ROUND(H63/K63,2),999)</f>
        <v/>
      </c>
      <c r="S63" s="5" t="inlineStr">
        <is>
          <t>Meal Kit</t>
        </is>
      </c>
      <c r="T63" s="5" t="n">
        <v>202</v>
      </c>
      <c r="U63" s="5" t="n">
        <v>27</v>
      </c>
      <c r="V63" s="5" t="n">
        <v>1292</v>
      </c>
      <c r="W63" s="4" t="inlineStr">
        <is>
          <t>Display network efficiency improved after audience refinement.</t>
        </is>
      </c>
    </row>
    <row r="64">
      <c r="A64" s="2" t="inlineStr">
        <is>
          <t>2024-03-03</t>
        </is>
      </c>
      <c r="B64" s="2" t="inlineStr">
        <is>
          <t>Sunday</t>
        </is>
      </c>
      <c r="C64" s="2" t="n">
        <v>9</v>
      </c>
      <c r="D64" s="2" t="n">
        <v>3</v>
      </c>
      <c r="E64" s="2" t="n">
        <v>1</v>
      </c>
      <c r="F64" s="2" t="inlineStr">
        <is>
          <t>Spring</t>
        </is>
      </c>
      <c r="G64" s="2" t="inlineStr">
        <is>
          <t>Ramp-Up</t>
        </is>
      </c>
      <c r="H64" s="3">
        <f>1132.73</f>
        <v/>
      </c>
      <c r="I64" s="3" t="n">
        <v>16905</v>
      </c>
      <c r="J64" s="3" t="n">
        <v>1166</v>
      </c>
      <c r="K64" s="3">
        <f>ROUND(C64/I64*100,2)</f>
        <v/>
      </c>
      <c r="L64" s="3" t="n">
        <v>103</v>
      </c>
      <c r="M64" s="3" t="n">
        <v>61</v>
      </c>
      <c r="N64" s="3" t="n">
        <v>164</v>
      </c>
      <c r="O64" s="3">
        <f>ROUND(N64/J64*100,2)</f>
        <v/>
      </c>
      <c r="P64" s="3">
        <f>8117.73</f>
        <v/>
      </c>
      <c r="Q64" s="3">
        <f>ROUND(P64/H64,2)</f>
        <v/>
      </c>
      <c r="R64" s="3">
        <f>IF(K64&gt;0,ROUND(H64/K64,2),999)</f>
        <v/>
      </c>
      <c r="S64" s="3" t="inlineStr">
        <is>
          <t>Snack Box</t>
        </is>
      </c>
      <c r="T64" s="3" t="n">
        <v>608</v>
      </c>
      <c r="U64" s="3" t="n">
        <v>204</v>
      </c>
      <c r="V64" s="3" t="n">
        <v>2428</v>
      </c>
      <c r="W64" s="2" t="inlineStr">
        <is>
          <t>Meta lookalike audience expansion successful.</t>
        </is>
      </c>
    </row>
    <row r="65">
      <c r="A65" s="4" t="inlineStr">
        <is>
          <t>2024-03-04</t>
        </is>
      </c>
      <c r="B65" s="4" t="inlineStr">
        <is>
          <t>Monday</t>
        </is>
      </c>
      <c r="C65" s="4" t="n">
        <v>10</v>
      </c>
      <c r="D65" s="4" t="n">
        <v>3</v>
      </c>
      <c r="E65" s="4" t="n">
        <v>1</v>
      </c>
      <c r="F65" s="4" t="inlineStr">
        <is>
          <t>Spring</t>
        </is>
      </c>
      <c r="G65" s="4" t="inlineStr">
        <is>
          <t>Ramp-Up</t>
        </is>
      </c>
      <c r="H65" s="5">
        <f>1659.18</f>
        <v/>
      </c>
      <c r="I65" s="5" t="n">
        <v>16030</v>
      </c>
      <c r="J65" s="5" t="n">
        <v>603</v>
      </c>
      <c r="K65" s="5">
        <f>ROUND(C65/I65*100,2)</f>
        <v/>
      </c>
      <c r="L65" s="5" t="n">
        <v>56</v>
      </c>
      <c r="M65" s="5" t="n">
        <v>34</v>
      </c>
      <c r="N65" s="5" t="n">
        <v>90</v>
      </c>
      <c r="O65" s="5">
        <f>ROUND(N65/J65*100,2)</f>
        <v/>
      </c>
      <c r="P65" s="5">
        <f>4584.45</f>
        <v/>
      </c>
      <c r="Q65" s="5">
        <f>ROUND(P65/H65,2)</f>
        <v/>
      </c>
      <c r="R65" s="5">
        <f>IF(K65&gt;0,ROUND(H65/K65,2),999)</f>
        <v/>
      </c>
      <c r="S65" s="5" t="inlineStr">
        <is>
          <t>Pantry</t>
        </is>
      </c>
      <c r="T65" s="5" t="n">
        <v>413</v>
      </c>
      <c r="U65" s="5" t="n">
        <v>114</v>
      </c>
      <c r="V65" s="5" t="n">
        <v>2623</v>
      </c>
      <c r="W65" s="4" t="inlineStr">
        <is>
          <t>Subscription retention improving month-over-month.</t>
        </is>
      </c>
    </row>
    <row r="66">
      <c r="A66" s="2" t="inlineStr">
        <is>
          <t>2024-03-05</t>
        </is>
      </c>
      <c r="B66" s="2" t="inlineStr">
        <is>
          <t>Tuesday</t>
        </is>
      </c>
      <c r="C66" s="2" t="n">
        <v>10</v>
      </c>
      <c r="D66" s="2" t="n">
        <v>3</v>
      </c>
      <c r="E66" s="2" t="n">
        <v>1</v>
      </c>
      <c r="F66" s="2" t="inlineStr">
        <is>
          <t>Spring</t>
        </is>
      </c>
      <c r="G66" s="2" t="inlineStr">
        <is>
          <t>Ramp-Up</t>
        </is>
      </c>
      <c r="H66" s="3">
        <f>1561.66</f>
        <v/>
      </c>
      <c r="I66" s="3" t="n">
        <v>13027</v>
      </c>
      <c r="J66" s="3" t="n">
        <v>405</v>
      </c>
      <c r="K66" s="3">
        <f>ROUND(C66/I66*100,2)</f>
        <v/>
      </c>
      <c r="L66" s="3" t="n">
        <v>27</v>
      </c>
      <c r="M66" s="3" t="n">
        <v>8</v>
      </c>
      <c r="N66" s="3" t="n">
        <v>35</v>
      </c>
      <c r="O66" s="3">
        <f>ROUND(N66/J66*100,2)</f>
        <v/>
      </c>
      <c r="P66" s="3">
        <f>2155.58</f>
        <v/>
      </c>
      <c r="Q66" s="3">
        <f>ROUND(P66/H66,2)</f>
        <v/>
      </c>
      <c r="R66" s="3">
        <f>IF(K66&gt;0,ROUND(H66/K66,2),999)</f>
        <v/>
      </c>
      <c r="S66" s="3" t="inlineStr">
        <is>
          <t>Pantry</t>
        </is>
      </c>
      <c r="T66" s="3" t="n">
        <v>197</v>
      </c>
      <c r="U66" s="3" t="n">
        <v>66</v>
      </c>
      <c r="V66" s="3" t="n">
        <v>3512</v>
      </c>
      <c r="W66" s="2" t="inlineStr">
        <is>
          <t>Weekend dip in conversions, organic traffic remains steady.</t>
        </is>
      </c>
    </row>
    <row r="67">
      <c r="A67" s="4" t="inlineStr">
        <is>
          <t>2024-03-06</t>
        </is>
      </c>
      <c r="B67" s="4" t="inlineStr">
        <is>
          <t>Wednesday</t>
        </is>
      </c>
      <c r="C67" s="4" t="n">
        <v>10</v>
      </c>
      <c r="D67" s="4" t="n">
        <v>3</v>
      </c>
      <c r="E67" s="4" t="n">
        <v>1</v>
      </c>
      <c r="F67" s="4" t="inlineStr">
        <is>
          <t>Spring</t>
        </is>
      </c>
      <c r="G67" s="4" t="inlineStr">
        <is>
          <t>Ramp-Up</t>
        </is>
      </c>
      <c r="H67" s="5">
        <f>1460.61</f>
        <v/>
      </c>
      <c r="I67" s="5" t="n">
        <v>15634</v>
      </c>
      <c r="J67" s="5" t="n">
        <v>392</v>
      </c>
      <c r="K67" s="5">
        <f>ROUND(C67/I67*100,2)</f>
        <v/>
      </c>
      <c r="L67" s="5" t="n">
        <v>28</v>
      </c>
      <c r="M67" s="5" t="n">
        <v>21</v>
      </c>
      <c r="N67" s="5" t="n">
        <v>49</v>
      </c>
      <c r="O67" s="5">
        <f>ROUND(N67/J67*100,2)</f>
        <v/>
      </c>
      <c r="P67" s="5">
        <f>2373.52</f>
        <v/>
      </c>
      <c r="Q67" s="5">
        <f>ROUND(P67/H67,2)</f>
        <v/>
      </c>
      <c r="R67" s="5">
        <f>IF(K67&gt;0,ROUND(H67/K67,2),999)</f>
        <v/>
      </c>
      <c r="S67" s="5" t="inlineStr">
        <is>
          <t>Meal Kit</t>
        </is>
      </c>
      <c r="T67" s="5" t="n">
        <v>180</v>
      </c>
      <c r="U67" s="5" t="n">
        <v>36</v>
      </c>
      <c r="V67" s="5" t="n">
        <v>3786</v>
      </c>
      <c r="W67" s="4" t="inlineStr">
        <is>
          <t>New customer acquisition cost declining with better audience targeting.</t>
        </is>
      </c>
    </row>
    <row r="68">
      <c r="A68" s="2" t="inlineStr">
        <is>
          <t>2024-03-07</t>
        </is>
      </c>
      <c r="B68" s="2" t="inlineStr">
        <is>
          <t>Thursday</t>
        </is>
      </c>
      <c r="C68" s="2" t="n">
        <v>10</v>
      </c>
      <c r="D68" s="2" t="n">
        <v>3</v>
      </c>
      <c r="E68" s="2" t="n">
        <v>1</v>
      </c>
      <c r="F68" s="2" t="inlineStr">
        <is>
          <t>Spring</t>
        </is>
      </c>
      <c r="G68" s="2" t="inlineStr">
        <is>
          <t>Ramp-Up</t>
        </is>
      </c>
      <c r="H68" s="3">
        <f>1415.00</f>
        <v/>
      </c>
      <c r="I68" s="3" t="n">
        <v>19828</v>
      </c>
      <c r="J68" s="3" t="n">
        <v>402</v>
      </c>
      <c r="K68" s="3">
        <f>ROUND(C68/I68*100,2)</f>
        <v/>
      </c>
      <c r="L68" s="3" t="n">
        <v>33</v>
      </c>
      <c r="M68" s="3" t="n">
        <v>12</v>
      </c>
      <c r="N68" s="3" t="n">
        <v>45</v>
      </c>
      <c r="O68" s="3">
        <f>ROUND(N68/J68*100,2)</f>
        <v/>
      </c>
      <c r="P68" s="3">
        <f>2475.94</f>
        <v/>
      </c>
      <c r="Q68" s="3">
        <f>ROUND(P68/H68,2)</f>
        <v/>
      </c>
      <c r="R68" s="3">
        <f>IF(K68&gt;0,ROUND(H68/K68,2),999)</f>
        <v/>
      </c>
      <c r="S68" s="3" t="inlineStr">
        <is>
          <t>Meal Kit</t>
        </is>
      </c>
      <c r="T68" s="3" t="n">
        <v>129</v>
      </c>
      <c r="U68" s="3" t="n">
        <v>59</v>
      </c>
      <c r="V68" s="3" t="n">
        <v>5946</v>
      </c>
      <c r="W68" s="2" t="inlineStr">
        <is>
          <t>Competitor promotion detected, reduced CPA achieved through optimization.</t>
        </is>
      </c>
    </row>
    <row r="69">
      <c r="A69" s="4" t="inlineStr">
        <is>
          <t>2024-03-08</t>
        </is>
      </c>
      <c r="B69" s="4" t="inlineStr">
        <is>
          <t>Friday</t>
        </is>
      </c>
      <c r="C69" s="4" t="n">
        <v>10</v>
      </c>
      <c r="D69" s="4" t="n">
        <v>3</v>
      </c>
      <c r="E69" s="4" t="n">
        <v>1</v>
      </c>
      <c r="F69" s="4" t="inlineStr">
        <is>
          <t>Spring</t>
        </is>
      </c>
      <c r="G69" s="4" t="inlineStr">
        <is>
          <t>Ramp-Up</t>
        </is>
      </c>
      <c r="H69" s="5">
        <f>1712.79</f>
        <v/>
      </c>
      <c r="I69" s="5" t="n">
        <v>16051</v>
      </c>
      <c r="J69" s="5" t="n">
        <v>1121</v>
      </c>
      <c r="K69" s="5">
        <f>ROUND(C69/I69*100,2)</f>
        <v/>
      </c>
      <c r="L69" s="5" t="n">
        <v>87</v>
      </c>
      <c r="M69" s="5" t="n">
        <v>28</v>
      </c>
      <c r="N69" s="5" t="n">
        <v>115</v>
      </c>
      <c r="O69" s="5">
        <f>ROUND(N69/J69*100,2)</f>
        <v/>
      </c>
      <c r="P69" s="5">
        <f>7167.01</f>
        <v/>
      </c>
      <c r="Q69" s="5">
        <f>ROUND(P69/H69,2)</f>
        <v/>
      </c>
      <c r="R69" s="5">
        <f>IF(K69&gt;0,ROUND(H69/K69,2),999)</f>
        <v/>
      </c>
      <c r="S69" s="5" t="inlineStr">
        <is>
          <t>Snack Box</t>
        </is>
      </c>
      <c r="T69" s="5" t="n">
        <v>540</v>
      </c>
      <c r="U69" s="5" t="n">
        <v>145</v>
      </c>
      <c r="V69" s="5" t="n">
        <v>4843</v>
      </c>
      <c r="W69" s="4" t="inlineStr">
        <is>
          <t>Competitor promotion detected, reduced CPA achieved through optimization.</t>
        </is>
      </c>
    </row>
    <row r="70">
      <c r="A70" s="2" t="inlineStr">
        <is>
          <t>2024-03-09</t>
        </is>
      </c>
      <c r="B70" s="2" t="inlineStr">
        <is>
          <t>Saturday</t>
        </is>
      </c>
      <c r="C70" s="2" t="n">
        <v>10</v>
      </c>
      <c r="D70" s="2" t="n">
        <v>3</v>
      </c>
      <c r="E70" s="2" t="n">
        <v>1</v>
      </c>
      <c r="F70" s="2" t="inlineStr">
        <is>
          <t>Spring</t>
        </is>
      </c>
      <c r="G70" s="2" t="inlineStr">
        <is>
          <t>Ramp-Up</t>
        </is>
      </c>
      <c r="H70" s="3">
        <f>1069.07</f>
        <v/>
      </c>
      <c r="I70" s="3" t="n">
        <v>10540</v>
      </c>
      <c r="J70" s="3" t="n">
        <v>603</v>
      </c>
      <c r="K70" s="3">
        <f>ROUND(C70/I70*100,2)</f>
        <v/>
      </c>
      <c r="L70" s="3" t="n">
        <v>36</v>
      </c>
      <c r="M70" s="3" t="n">
        <v>25</v>
      </c>
      <c r="N70" s="3" t="n">
        <v>61</v>
      </c>
      <c r="O70" s="3">
        <f>ROUND(N70/J70*100,2)</f>
        <v/>
      </c>
      <c r="P70" s="3">
        <f>3566.26</f>
        <v/>
      </c>
      <c r="Q70" s="3">
        <f>ROUND(P70/H70,2)</f>
        <v/>
      </c>
      <c r="R70" s="3">
        <f>IF(K70&gt;0,ROUND(H70/K70,2),999)</f>
        <v/>
      </c>
      <c r="S70" s="3" t="inlineStr">
        <is>
          <t>Snack Box</t>
        </is>
      </c>
      <c r="T70" s="3" t="n">
        <v>193</v>
      </c>
      <c r="U70" s="3" t="n">
        <v>72</v>
      </c>
      <c r="V70" s="3" t="n">
        <v>3803</v>
      </c>
      <c r="W70" s="2" t="inlineStr">
        <is>
          <t>Meta lookalike audience expansion successful.</t>
        </is>
      </c>
    </row>
    <row r="71">
      <c r="A71" s="4" t="inlineStr">
        <is>
          <t>2024-03-10</t>
        </is>
      </c>
      <c r="B71" s="4" t="inlineStr">
        <is>
          <t>Sunday</t>
        </is>
      </c>
      <c r="C71" s="4" t="n">
        <v>10</v>
      </c>
      <c r="D71" s="4" t="n">
        <v>3</v>
      </c>
      <c r="E71" s="4" t="n">
        <v>1</v>
      </c>
      <c r="F71" s="4" t="inlineStr">
        <is>
          <t>Spring</t>
        </is>
      </c>
      <c r="G71" s="4" t="inlineStr">
        <is>
          <t>Ramp-Up</t>
        </is>
      </c>
      <c r="H71" s="5">
        <f>1061.62</f>
        <v/>
      </c>
      <c r="I71" s="5" t="n">
        <v>14754</v>
      </c>
      <c r="J71" s="5" t="n">
        <v>530</v>
      </c>
      <c r="K71" s="5">
        <f>ROUND(C71/I71*100,2)</f>
        <v/>
      </c>
      <c r="L71" s="5" t="n">
        <v>41</v>
      </c>
      <c r="M71" s="5" t="n">
        <v>15</v>
      </c>
      <c r="N71" s="5" t="n">
        <v>56</v>
      </c>
      <c r="O71" s="5">
        <f>ROUND(N71/J71*100,2)</f>
        <v/>
      </c>
      <c r="P71" s="5">
        <f>3165.96</f>
        <v/>
      </c>
      <c r="Q71" s="5">
        <f>ROUND(P71/H71,2)</f>
        <v/>
      </c>
      <c r="R71" s="5">
        <f>IF(K71&gt;0,ROUND(H71/K71,2),999)</f>
        <v/>
      </c>
      <c r="S71" s="5" t="inlineStr">
        <is>
          <t>Pantry</t>
        </is>
      </c>
      <c r="T71" s="5" t="n">
        <v>400</v>
      </c>
      <c r="U71" s="5" t="n">
        <v>123</v>
      </c>
      <c r="V71" s="5" t="n">
        <v>4402</v>
      </c>
      <c r="W71" s="4" t="inlineStr">
        <is>
          <t>Mobile conversion rate optimization showing 12% improvement.</t>
        </is>
      </c>
    </row>
    <row r="72">
      <c r="A72" s="2" t="inlineStr">
        <is>
          <t>2024-03-11</t>
        </is>
      </c>
      <c r="B72" s="2" t="inlineStr">
        <is>
          <t>Monday</t>
        </is>
      </c>
      <c r="C72" s="2" t="n">
        <v>11</v>
      </c>
      <c r="D72" s="2" t="n">
        <v>3</v>
      </c>
      <c r="E72" s="2" t="n">
        <v>1</v>
      </c>
      <c r="F72" s="2" t="inlineStr">
        <is>
          <t>Spring</t>
        </is>
      </c>
      <c r="G72" s="2" t="inlineStr">
        <is>
          <t>Ramp-Up</t>
        </is>
      </c>
      <c r="H72" s="3">
        <f>1582.28</f>
        <v/>
      </c>
      <c r="I72" s="3" t="n">
        <v>15842</v>
      </c>
      <c r="J72" s="3" t="n">
        <v>900</v>
      </c>
      <c r="K72" s="3">
        <f>ROUND(C72/I72*100,2)</f>
        <v/>
      </c>
      <c r="L72" s="3" t="n">
        <v>54</v>
      </c>
      <c r="M72" s="3" t="n">
        <v>21</v>
      </c>
      <c r="N72" s="3" t="n">
        <v>75</v>
      </c>
      <c r="O72" s="3">
        <f>ROUND(N72/J72*100,2)</f>
        <v/>
      </c>
      <c r="P72" s="3">
        <f>3866.02</f>
        <v/>
      </c>
      <c r="Q72" s="3">
        <f>ROUND(P72/H72,2)</f>
        <v/>
      </c>
      <c r="R72" s="3">
        <f>IF(K72&gt;0,ROUND(H72/K72,2),999)</f>
        <v/>
      </c>
      <c r="S72" s="3" t="inlineStr">
        <is>
          <t>Pantry</t>
        </is>
      </c>
      <c r="T72" s="3" t="n">
        <v>343</v>
      </c>
      <c r="U72" s="3" t="n">
        <v>157</v>
      </c>
      <c r="V72" s="3" t="n">
        <v>3621</v>
      </c>
      <c r="W72" s="2" t="inlineStr">
        <is>
          <t>Organic search volume spike due to influencer mention.</t>
        </is>
      </c>
    </row>
    <row r="73">
      <c r="A73" s="4" t="inlineStr">
        <is>
          <t>2024-03-12</t>
        </is>
      </c>
      <c r="B73" s="4" t="inlineStr">
        <is>
          <t>Tuesday</t>
        </is>
      </c>
      <c r="C73" s="4" t="n">
        <v>11</v>
      </c>
      <c r="D73" s="4" t="n">
        <v>3</v>
      </c>
      <c r="E73" s="4" t="n">
        <v>1</v>
      </c>
      <c r="F73" s="4" t="inlineStr">
        <is>
          <t>Spring</t>
        </is>
      </c>
      <c r="G73" s="4" t="inlineStr">
        <is>
          <t>Ramp-Up</t>
        </is>
      </c>
      <c r="H73" s="5">
        <f>1417.47</f>
        <v/>
      </c>
      <c r="I73" s="5" t="n">
        <v>11874</v>
      </c>
      <c r="J73" s="5" t="n">
        <v>667</v>
      </c>
      <c r="K73" s="5">
        <f>ROUND(C73/I73*100,2)</f>
        <v/>
      </c>
      <c r="L73" s="5" t="n">
        <v>37</v>
      </c>
      <c r="M73" s="5" t="n">
        <v>17</v>
      </c>
      <c r="N73" s="5" t="n">
        <v>54</v>
      </c>
      <c r="O73" s="5">
        <f>ROUND(N73/J73*100,2)</f>
        <v/>
      </c>
      <c r="P73" s="5">
        <f>2966.87</f>
        <v/>
      </c>
      <c r="Q73" s="5">
        <f>ROUND(P73/H73,2)</f>
        <v/>
      </c>
      <c r="R73" s="5">
        <f>IF(K73&gt;0,ROUND(H73/K73,2),999)</f>
        <v/>
      </c>
      <c r="S73" s="5" t="inlineStr">
        <is>
          <t>Meal Kit</t>
        </is>
      </c>
      <c r="T73" s="5" t="n">
        <v>495</v>
      </c>
      <c r="U73" s="5" t="n">
        <v>127</v>
      </c>
      <c r="V73" s="5" t="n">
        <v>2082</v>
      </c>
      <c r="W73" s="4" t="inlineStr">
        <is>
          <t>Retargeting campaign paused for fatigue analysis.</t>
        </is>
      </c>
    </row>
    <row r="74">
      <c r="A74" s="2" t="inlineStr">
        <is>
          <t>2024-03-13</t>
        </is>
      </c>
      <c r="B74" s="2" t="inlineStr">
        <is>
          <t>Wednesday</t>
        </is>
      </c>
      <c r="C74" s="2" t="n">
        <v>11</v>
      </c>
      <c r="D74" s="2" t="n">
        <v>3</v>
      </c>
      <c r="E74" s="2" t="n">
        <v>1</v>
      </c>
      <c r="F74" s="2" t="inlineStr">
        <is>
          <t>Spring</t>
        </is>
      </c>
      <c r="G74" s="2" t="inlineStr">
        <is>
          <t>Ramp-Up</t>
        </is>
      </c>
      <c r="H74" s="3">
        <f>1637.97</f>
        <v/>
      </c>
      <c r="I74" s="3" t="n">
        <v>17197</v>
      </c>
      <c r="J74" s="3" t="n">
        <v>1318</v>
      </c>
      <c r="K74" s="3">
        <f>ROUND(C74/I74*100,2)</f>
        <v/>
      </c>
      <c r="L74" s="3" t="n">
        <v>121</v>
      </c>
      <c r="M74" s="3" t="n">
        <v>30</v>
      </c>
      <c r="N74" s="3" t="n">
        <v>151</v>
      </c>
      <c r="O74" s="3">
        <f>ROUND(N74/J74*100,2)</f>
        <v/>
      </c>
      <c r="P74" s="3">
        <f>6863.01</f>
        <v/>
      </c>
      <c r="Q74" s="3">
        <f>ROUND(P74/H74,2)</f>
        <v/>
      </c>
      <c r="R74" s="3">
        <f>IF(K74&gt;0,ROUND(H74/K74,2),999)</f>
        <v/>
      </c>
      <c r="S74" s="3" t="inlineStr">
        <is>
          <t>Pantry</t>
        </is>
      </c>
      <c r="T74" s="3" t="n">
        <v>1045</v>
      </c>
      <c r="U74" s="3" t="n">
        <v>107</v>
      </c>
      <c r="V74" s="3" t="n">
        <v>4377</v>
      </c>
      <c r="W74" s="2" t="inlineStr">
        <is>
          <t>Organic search volume spike due to influencer mention.</t>
        </is>
      </c>
    </row>
    <row r="75">
      <c r="A75" s="4" t="inlineStr">
        <is>
          <t>2024-03-14</t>
        </is>
      </c>
      <c r="B75" s="4" t="inlineStr">
        <is>
          <t>Thursday</t>
        </is>
      </c>
      <c r="C75" s="4" t="n">
        <v>11</v>
      </c>
      <c r="D75" s="4" t="n">
        <v>3</v>
      </c>
      <c r="E75" s="4" t="n">
        <v>1</v>
      </c>
      <c r="F75" s="4" t="inlineStr">
        <is>
          <t>Spring</t>
        </is>
      </c>
      <c r="G75" s="4" t="inlineStr">
        <is>
          <t>Ramp-Up</t>
        </is>
      </c>
      <c r="H75" s="5">
        <f>1657.77</f>
        <v/>
      </c>
      <c r="I75" s="5" t="n">
        <v>21500</v>
      </c>
      <c r="J75" s="5" t="n">
        <v>639</v>
      </c>
      <c r="K75" s="5">
        <f>ROUND(C75/I75*100,2)</f>
        <v/>
      </c>
      <c r="L75" s="5" t="n">
        <v>69</v>
      </c>
      <c r="M75" s="5" t="n">
        <v>37</v>
      </c>
      <c r="N75" s="5" t="n">
        <v>106</v>
      </c>
      <c r="O75" s="5">
        <f>ROUND(N75/J75*100,2)</f>
        <v/>
      </c>
      <c r="P75" s="5">
        <f>5387.97</f>
        <v/>
      </c>
      <c r="Q75" s="5">
        <f>ROUND(P75/H75,2)</f>
        <v/>
      </c>
      <c r="R75" s="5">
        <f>IF(K75&gt;0,ROUND(H75/K75,2),999)</f>
        <v/>
      </c>
      <c r="S75" s="5" t="inlineStr">
        <is>
          <t>Meal Kit</t>
        </is>
      </c>
      <c r="T75" s="5" t="n">
        <v>346</v>
      </c>
      <c r="U75" s="5" t="n">
        <v>155</v>
      </c>
      <c r="V75" s="5" t="n">
        <v>3846</v>
      </c>
      <c r="W75" s="4" t="inlineStr">
        <is>
          <t>Tuesday peak for email nurture campaigns.</t>
        </is>
      </c>
    </row>
    <row r="76">
      <c r="A76" s="2" t="inlineStr">
        <is>
          <t>2024-03-15</t>
        </is>
      </c>
      <c r="B76" s="2" t="inlineStr">
        <is>
          <t>Friday</t>
        </is>
      </c>
      <c r="C76" s="2" t="n">
        <v>11</v>
      </c>
      <c r="D76" s="2" t="n">
        <v>3</v>
      </c>
      <c r="E76" s="2" t="n">
        <v>1</v>
      </c>
      <c r="F76" s="2" t="inlineStr">
        <is>
          <t>Spring</t>
        </is>
      </c>
      <c r="G76" s="2" t="inlineStr">
        <is>
          <t>Ramp-Up</t>
        </is>
      </c>
      <c r="H76" s="3">
        <f>1500.79</f>
        <v/>
      </c>
      <c r="I76" s="3" t="n">
        <v>19949</v>
      </c>
      <c r="J76" s="3" t="n">
        <v>904</v>
      </c>
      <c r="K76" s="3">
        <f>ROUND(C76/I76*100,2)</f>
        <v/>
      </c>
      <c r="L76" s="3" t="n">
        <v>86</v>
      </c>
      <c r="M76" s="3" t="n">
        <v>19</v>
      </c>
      <c r="N76" s="3" t="n">
        <v>105</v>
      </c>
      <c r="O76" s="3">
        <f>ROUND(N76/J76*100,2)</f>
        <v/>
      </c>
      <c r="P76" s="3">
        <f>4818.86</f>
        <v/>
      </c>
      <c r="Q76" s="3">
        <f>ROUND(P76/H76,2)</f>
        <v/>
      </c>
      <c r="R76" s="3">
        <f>IF(K76&gt;0,ROUND(H76/K76,2),999)</f>
        <v/>
      </c>
      <c r="S76" s="3" t="inlineStr">
        <is>
          <t>Meal Kit</t>
        </is>
      </c>
      <c r="T76" s="3" t="n">
        <v>722</v>
      </c>
      <c r="U76" s="3" t="n">
        <v>61</v>
      </c>
      <c r="V76" s="3" t="n">
        <v>5270</v>
      </c>
      <c r="W76" s="2" t="inlineStr">
        <is>
          <t>Subscription retention improving month-over-month.</t>
        </is>
      </c>
    </row>
    <row r="77">
      <c r="A77" s="4" t="inlineStr">
        <is>
          <t>2024-03-16</t>
        </is>
      </c>
      <c r="B77" s="4" t="inlineStr">
        <is>
          <t>Saturday</t>
        </is>
      </c>
      <c r="C77" s="4" t="n">
        <v>11</v>
      </c>
      <c r="D77" s="4" t="n">
        <v>3</v>
      </c>
      <c r="E77" s="4" t="n">
        <v>1</v>
      </c>
      <c r="F77" s="4" t="inlineStr">
        <is>
          <t>Spring</t>
        </is>
      </c>
      <c r="G77" s="4" t="inlineStr">
        <is>
          <t>Ramp-Up</t>
        </is>
      </c>
      <c r="H77" s="5">
        <f>1021.17</f>
        <v/>
      </c>
      <c r="I77" s="5" t="n">
        <v>11542</v>
      </c>
      <c r="J77" s="5" t="n">
        <v>512</v>
      </c>
      <c r="K77" s="5">
        <f>ROUND(C77/I77*100,2)</f>
        <v/>
      </c>
      <c r="L77" s="5" t="n">
        <v>30</v>
      </c>
      <c r="M77" s="5" t="n">
        <v>19</v>
      </c>
      <c r="N77" s="5" t="n">
        <v>49</v>
      </c>
      <c r="O77" s="5">
        <f>ROUND(N77/J77*100,2)</f>
        <v/>
      </c>
      <c r="P77" s="5">
        <f>3005.93</f>
        <v/>
      </c>
      <c r="Q77" s="5">
        <f>ROUND(P77/H77,2)</f>
        <v/>
      </c>
      <c r="R77" s="5">
        <f>IF(K77&gt;0,ROUND(H77/K77,2),999)</f>
        <v/>
      </c>
      <c r="S77" s="5" t="inlineStr">
        <is>
          <t>Meal Kit</t>
        </is>
      </c>
      <c r="T77" s="5" t="n">
        <v>230</v>
      </c>
      <c r="U77" s="5" t="n">
        <v>97</v>
      </c>
      <c r="V77" s="5" t="n">
        <v>2242</v>
      </c>
      <c r="W77" s="4" t="inlineStr">
        <is>
          <t>Budget reallocation to top-performing Google Shopping ads.</t>
        </is>
      </c>
    </row>
    <row r="78">
      <c r="A78" s="2" t="inlineStr">
        <is>
          <t>2024-03-17</t>
        </is>
      </c>
      <c r="B78" s="2" t="inlineStr">
        <is>
          <t>Sunday</t>
        </is>
      </c>
      <c r="C78" s="2" t="n">
        <v>11</v>
      </c>
      <c r="D78" s="2" t="n">
        <v>3</v>
      </c>
      <c r="E78" s="2" t="n">
        <v>1</v>
      </c>
      <c r="F78" s="2" t="inlineStr">
        <is>
          <t>Spring</t>
        </is>
      </c>
      <c r="G78" s="2" t="inlineStr">
        <is>
          <t>Ramp-Up</t>
        </is>
      </c>
      <c r="H78" s="3">
        <f>1020.40</f>
        <v/>
      </c>
      <c r="I78" s="3" t="n">
        <v>12888</v>
      </c>
      <c r="J78" s="3" t="n">
        <v>605</v>
      </c>
      <c r="K78" s="3">
        <f>ROUND(C78/I78*100,2)</f>
        <v/>
      </c>
      <c r="L78" s="3" t="n">
        <v>43</v>
      </c>
      <c r="M78" s="3" t="n">
        <v>24</v>
      </c>
      <c r="N78" s="3" t="n">
        <v>67</v>
      </c>
      <c r="O78" s="3">
        <f>ROUND(N78/J78*100,2)</f>
        <v/>
      </c>
      <c r="P78" s="3">
        <f>3838.89</f>
        <v/>
      </c>
      <c r="Q78" s="3">
        <f>ROUND(P78/H78,2)</f>
        <v/>
      </c>
      <c r="R78" s="3">
        <f>IF(K78&gt;0,ROUND(H78/K78,2),999)</f>
        <v/>
      </c>
      <c r="S78" s="3" t="inlineStr">
        <is>
          <t>Pantry</t>
        </is>
      </c>
      <c r="T78" s="3" t="n">
        <v>341</v>
      </c>
      <c r="U78" s="3" t="n">
        <v>104</v>
      </c>
      <c r="V78" s="3" t="n">
        <v>4987</v>
      </c>
      <c r="W78" s="2" t="inlineStr">
        <is>
          <t>Test of lifestyle content format underperforming, discontinued.</t>
        </is>
      </c>
    </row>
    <row r="79">
      <c r="A79" s="4" t="inlineStr">
        <is>
          <t>2024-03-18</t>
        </is>
      </c>
      <c r="B79" s="4" t="inlineStr">
        <is>
          <t>Monday</t>
        </is>
      </c>
      <c r="C79" s="4" t="n">
        <v>12</v>
      </c>
      <c r="D79" s="4" t="n">
        <v>3</v>
      </c>
      <c r="E79" s="4" t="n">
        <v>1</v>
      </c>
      <c r="F79" s="4" t="inlineStr">
        <is>
          <t>Spring</t>
        </is>
      </c>
      <c r="G79" s="4" t="inlineStr">
        <is>
          <t>Ramp-Up</t>
        </is>
      </c>
      <c r="H79" s="5">
        <f>1309.08</f>
        <v/>
      </c>
      <c r="I79" s="5" t="n">
        <v>16616</v>
      </c>
      <c r="J79" s="5" t="n">
        <v>1047</v>
      </c>
      <c r="K79" s="5">
        <f>ROUND(C79/I79*100,2)</f>
        <v/>
      </c>
      <c r="L79" s="5" t="n">
        <v>64</v>
      </c>
      <c r="M79" s="5" t="n">
        <v>55</v>
      </c>
      <c r="N79" s="5" t="n">
        <v>119</v>
      </c>
      <c r="O79" s="5">
        <f>ROUND(N79/J79*100,2)</f>
        <v/>
      </c>
      <c r="P79" s="5">
        <f>6979.65</f>
        <v/>
      </c>
      <c r="Q79" s="5">
        <f>ROUND(P79/H79,2)</f>
        <v/>
      </c>
      <c r="R79" s="5">
        <f>IF(K79&gt;0,ROUND(H79/K79,2),999)</f>
        <v/>
      </c>
      <c r="S79" s="5" t="inlineStr">
        <is>
          <t>Meal Kit</t>
        </is>
      </c>
      <c r="T79" s="5" t="n">
        <v>327</v>
      </c>
      <c r="U79" s="5" t="n">
        <v>60</v>
      </c>
      <c r="V79" s="5" t="n">
        <v>5143</v>
      </c>
      <c r="W79" s="4" t="inlineStr">
        <is>
          <t>Budget reallocation to top-performing Google Shopping ads.</t>
        </is>
      </c>
    </row>
    <row r="80">
      <c r="A80" s="2" t="inlineStr">
        <is>
          <t>2024-03-19</t>
        </is>
      </c>
      <c r="B80" s="2" t="inlineStr">
        <is>
          <t>Tuesday</t>
        </is>
      </c>
      <c r="C80" s="2" t="n">
        <v>12</v>
      </c>
      <c r="D80" s="2" t="n">
        <v>3</v>
      </c>
      <c r="E80" s="2" t="n">
        <v>1</v>
      </c>
      <c r="F80" s="2" t="inlineStr">
        <is>
          <t>Spring</t>
        </is>
      </c>
      <c r="G80" s="2" t="inlineStr">
        <is>
          <t>Ramp-Up</t>
        </is>
      </c>
      <c r="H80" s="3">
        <f>1653.59</f>
        <v/>
      </c>
      <c r="I80" s="3" t="n">
        <v>24327</v>
      </c>
      <c r="J80" s="3" t="n">
        <v>1580</v>
      </c>
      <c r="K80" s="3">
        <f>ROUND(C80/I80*100,2)</f>
        <v/>
      </c>
      <c r="L80" s="3" t="n">
        <v>107</v>
      </c>
      <c r="M80" s="3" t="n">
        <v>43</v>
      </c>
      <c r="N80" s="3" t="n">
        <v>150</v>
      </c>
      <c r="O80" s="3">
        <f>ROUND(N80/J80*100,2)</f>
        <v/>
      </c>
      <c r="P80" s="3">
        <f>9443.89</f>
        <v/>
      </c>
      <c r="Q80" s="3">
        <f>ROUND(P80/H80,2)</f>
        <v/>
      </c>
      <c r="R80" s="3">
        <f>IF(K80&gt;0,ROUND(H80/K80,2),999)</f>
        <v/>
      </c>
      <c r="S80" s="3" t="inlineStr">
        <is>
          <t>Snack Box</t>
        </is>
      </c>
      <c r="T80" s="3" t="n">
        <v>638</v>
      </c>
      <c r="U80" s="3" t="n">
        <v>88</v>
      </c>
      <c r="V80" s="3" t="n">
        <v>3236</v>
      </c>
      <c r="W80" s="2" t="inlineStr">
        <is>
          <t>Test of lifestyle content format underperforming, discontinued.</t>
        </is>
      </c>
    </row>
    <row r="81">
      <c r="A81" s="4" t="inlineStr">
        <is>
          <t>2024-03-20</t>
        </is>
      </c>
      <c r="B81" s="4" t="inlineStr">
        <is>
          <t>Wednesday</t>
        </is>
      </c>
      <c r="C81" s="4" t="n">
        <v>12</v>
      </c>
      <c r="D81" s="4" t="n">
        <v>3</v>
      </c>
      <c r="E81" s="4" t="n">
        <v>1</v>
      </c>
      <c r="F81" s="4" t="inlineStr">
        <is>
          <t>Spring</t>
        </is>
      </c>
      <c r="G81" s="4" t="inlineStr">
        <is>
          <t>Ramp-Up</t>
        </is>
      </c>
      <c r="H81" s="5">
        <f>1561.33</f>
        <v/>
      </c>
      <c r="I81" s="5" t="n">
        <v>19477</v>
      </c>
      <c r="J81" s="5" t="n">
        <v>1407</v>
      </c>
      <c r="K81" s="5">
        <f>ROUND(C81/I81*100,2)</f>
        <v/>
      </c>
      <c r="L81" s="5" t="n">
        <v>130</v>
      </c>
      <c r="M81" s="5" t="n">
        <v>55</v>
      </c>
      <c r="N81" s="5" t="n">
        <v>185</v>
      </c>
      <c r="O81" s="5">
        <f>ROUND(N81/J81*100,2)</f>
        <v/>
      </c>
      <c r="P81" s="5">
        <f>11347.22</f>
        <v/>
      </c>
      <c r="Q81" s="5">
        <f>ROUND(P81/H81,2)</f>
        <v/>
      </c>
      <c r="R81" s="5">
        <f>IF(K81&gt;0,ROUND(H81/K81,2),999)</f>
        <v/>
      </c>
      <c r="S81" s="5" t="inlineStr">
        <is>
          <t>Snack Box</t>
        </is>
      </c>
      <c r="T81" s="5" t="n">
        <v>785</v>
      </c>
      <c r="U81" s="5" t="n">
        <v>210</v>
      </c>
      <c r="V81" s="5" t="n">
        <v>2357</v>
      </c>
      <c r="W81" s="4" t="inlineStr">
        <is>
          <t>New TikTok creative launched, high initial impression share.</t>
        </is>
      </c>
    </row>
    <row r="82">
      <c r="A82" s="2" t="inlineStr">
        <is>
          <t>2024-03-21</t>
        </is>
      </c>
      <c r="B82" s="2" t="inlineStr">
        <is>
          <t>Thursday</t>
        </is>
      </c>
      <c r="C82" s="2" t="n">
        <v>12</v>
      </c>
      <c r="D82" s="2" t="n">
        <v>3</v>
      </c>
      <c r="E82" s="2" t="n">
        <v>1</v>
      </c>
      <c r="F82" s="2" t="inlineStr">
        <is>
          <t>Spring</t>
        </is>
      </c>
      <c r="G82" s="2" t="inlineStr">
        <is>
          <t>Ramp-Up</t>
        </is>
      </c>
      <c r="H82" s="3">
        <f>1573.90</f>
        <v/>
      </c>
      <c r="I82" s="3" t="n">
        <v>18568</v>
      </c>
      <c r="J82" s="3" t="n">
        <v>845</v>
      </c>
      <c r="K82" s="3">
        <f>ROUND(C82/I82*100,2)</f>
        <v/>
      </c>
      <c r="L82" s="3" t="n">
        <v>71</v>
      </c>
      <c r="M82" s="3" t="n">
        <v>20</v>
      </c>
      <c r="N82" s="3" t="n">
        <v>91</v>
      </c>
      <c r="O82" s="3">
        <f>ROUND(N82/J82*100,2)</f>
        <v/>
      </c>
      <c r="P82" s="3">
        <f>4828.02</f>
        <v/>
      </c>
      <c r="Q82" s="3">
        <f>ROUND(P82/H82,2)</f>
        <v/>
      </c>
      <c r="R82" s="3">
        <f>IF(K82&gt;0,ROUND(H82/K82,2),999)</f>
        <v/>
      </c>
      <c r="S82" s="3" t="inlineStr">
        <is>
          <t>Snack Box</t>
        </is>
      </c>
      <c r="T82" s="3" t="n">
        <v>463</v>
      </c>
      <c r="U82" s="3" t="n">
        <v>75</v>
      </c>
      <c r="V82" s="3" t="n">
        <v>4929</v>
      </c>
      <c r="W82" s="2" t="inlineStr">
        <is>
          <t>Bundle promotion resonating with families segment.</t>
        </is>
      </c>
    </row>
    <row r="83">
      <c r="A83" s="4" t="inlineStr">
        <is>
          <t>2024-03-22</t>
        </is>
      </c>
      <c r="B83" s="4" t="inlineStr">
        <is>
          <t>Friday</t>
        </is>
      </c>
      <c r="C83" s="4" t="n">
        <v>12</v>
      </c>
      <c r="D83" s="4" t="n">
        <v>3</v>
      </c>
      <c r="E83" s="4" t="n">
        <v>1</v>
      </c>
      <c r="F83" s="4" t="inlineStr">
        <is>
          <t>Spring</t>
        </is>
      </c>
      <c r="G83" s="4" t="inlineStr">
        <is>
          <t>Ramp-Up</t>
        </is>
      </c>
      <c r="H83" s="5">
        <f>1377.26</f>
        <v/>
      </c>
      <c r="I83" s="5" t="n">
        <v>16186</v>
      </c>
      <c r="J83" s="5" t="n">
        <v>1093</v>
      </c>
      <c r="K83" s="5">
        <f>ROUND(C83/I83*100,2)</f>
        <v/>
      </c>
      <c r="L83" s="5" t="n">
        <v>72</v>
      </c>
      <c r="M83" s="5" t="n">
        <v>29</v>
      </c>
      <c r="N83" s="5" t="n">
        <v>101</v>
      </c>
      <c r="O83" s="5">
        <f>ROUND(N83/J83*100,2)</f>
        <v/>
      </c>
      <c r="P83" s="5">
        <f>4903.32</f>
        <v/>
      </c>
      <c r="Q83" s="5">
        <f>ROUND(P83/H83,2)</f>
        <v/>
      </c>
      <c r="R83" s="5">
        <f>IF(K83&gt;0,ROUND(H83/K83,2),999)</f>
        <v/>
      </c>
      <c r="S83" s="5" t="inlineStr">
        <is>
          <t>Snack Box</t>
        </is>
      </c>
      <c r="T83" s="5" t="n">
        <v>789</v>
      </c>
      <c r="U83" s="5" t="n">
        <v>252</v>
      </c>
      <c r="V83" s="5" t="n">
        <v>6262</v>
      </c>
      <c r="W83" s="4" t="inlineStr">
        <is>
          <t>Budget reallocation to top-performing Google Shopping ads.</t>
        </is>
      </c>
    </row>
    <row r="84">
      <c r="A84" s="2" t="inlineStr">
        <is>
          <t>2024-03-23</t>
        </is>
      </c>
      <c r="B84" s="2" t="inlineStr">
        <is>
          <t>Saturday</t>
        </is>
      </c>
      <c r="C84" s="2" t="n">
        <v>12</v>
      </c>
      <c r="D84" s="2" t="n">
        <v>3</v>
      </c>
      <c r="E84" s="2" t="n">
        <v>1</v>
      </c>
      <c r="F84" s="2" t="inlineStr">
        <is>
          <t>Spring</t>
        </is>
      </c>
      <c r="G84" s="2" t="inlineStr">
        <is>
          <t>Ramp-Up</t>
        </is>
      </c>
      <c r="H84" s="3">
        <f>1048.89</f>
        <v/>
      </c>
      <c r="I84" s="3" t="n">
        <v>9754</v>
      </c>
      <c r="J84" s="3" t="n">
        <v>207</v>
      </c>
      <c r="K84" s="3">
        <f>ROUND(C84/I84*100,2)</f>
        <v/>
      </c>
      <c r="L84" s="3" t="n">
        <v>24</v>
      </c>
      <c r="M84" s="3" t="n">
        <v>6</v>
      </c>
      <c r="N84" s="3" t="n">
        <v>30</v>
      </c>
      <c r="O84" s="3">
        <f>ROUND(N84/J84*100,2)</f>
        <v/>
      </c>
      <c r="P84" s="3">
        <f>1915.30</f>
        <v/>
      </c>
      <c r="Q84" s="3">
        <f>ROUND(P84/H84,2)</f>
        <v/>
      </c>
      <c r="R84" s="3">
        <f>IF(K84&gt;0,ROUND(H84/K84,2),999)</f>
        <v/>
      </c>
      <c r="S84" s="3" t="inlineStr">
        <is>
          <t>Pantry</t>
        </is>
      </c>
      <c r="T84" s="3" t="n">
        <v>162</v>
      </c>
      <c r="U84" s="3" t="n">
        <v>30</v>
      </c>
      <c r="V84" s="3" t="n">
        <v>1980</v>
      </c>
      <c r="W84" s="2" t="inlineStr">
        <is>
          <t>Meta lookalike audience expansion successful.</t>
        </is>
      </c>
    </row>
    <row r="85">
      <c r="A85" s="4" t="inlineStr">
        <is>
          <t>2024-03-24</t>
        </is>
      </c>
      <c r="B85" s="4" t="inlineStr">
        <is>
          <t>Sunday</t>
        </is>
      </c>
      <c r="C85" s="4" t="n">
        <v>12</v>
      </c>
      <c r="D85" s="4" t="n">
        <v>3</v>
      </c>
      <c r="E85" s="4" t="n">
        <v>1</v>
      </c>
      <c r="F85" s="4" t="inlineStr">
        <is>
          <t>Spring</t>
        </is>
      </c>
      <c r="G85" s="4" t="inlineStr">
        <is>
          <t>Ramp-Up</t>
        </is>
      </c>
      <c r="H85" s="5">
        <f>908.77</f>
        <v/>
      </c>
      <c r="I85" s="5" t="n">
        <v>7532</v>
      </c>
      <c r="J85" s="5" t="n">
        <v>548</v>
      </c>
      <c r="K85" s="5">
        <f>ROUND(C85/I85*100,2)</f>
        <v/>
      </c>
      <c r="L85" s="5" t="n">
        <v>36</v>
      </c>
      <c r="M85" s="5" t="n">
        <v>11</v>
      </c>
      <c r="N85" s="5" t="n">
        <v>47</v>
      </c>
      <c r="O85" s="5">
        <f>ROUND(N85/J85*100,2)</f>
        <v/>
      </c>
      <c r="P85" s="5">
        <f>2661.81</f>
        <v/>
      </c>
      <c r="Q85" s="5">
        <f>ROUND(P85/H85,2)</f>
        <v/>
      </c>
      <c r="R85" s="5">
        <f>IF(K85&gt;0,ROUND(H85/K85,2),999)</f>
        <v/>
      </c>
      <c r="S85" s="5" t="inlineStr">
        <is>
          <t>Pantry</t>
        </is>
      </c>
      <c r="T85" s="5" t="n">
        <v>414</v>
      </c>
      <c r="U85" s="5" t="n">
        <v>132</v>
      </c>
      <c r="V85" s="5" t="n">
        <v>2990</v>
      </c>
      <c r="W85" s="4" t="inlineStr">
        <is>
          <t>Competitor promotion detected, reduced CPA achieved through optimization.</t>
        </is>
      </c>
    </row>
    <row r="86">
      <c r="A86" s="2" t="inlineStr">
        <is>
          <t>2024-03-25</t>
        </is>
      </c>
      <c r="B86" s="2" t="inlineStr">
        <is>
          <t>Monday</t>
        </is>
      </c>
      <c r="C86" s="2" t="n">
        <v>13</v>
      </c>
      <c r="D86" s="2" t="n">
        <v>3</v>
      </c>
      <c r="E86" s="2" t="n">
        <v>1</v>
      </c>
      <c r="F86" s="2" t="inlineStr">
        <is>
          <t>Spring</t>
        </is>
      </c>
      <c r="G86" s="2" t="inlineStr">
        <is>
          <t>Ramp-Up</t>
        </is>
      </c>
      <c r="H86" s="3">
        <f>1429.06</f>
        <v/>
      </c>
      <c r="I86" s="3" t="n">
        <v>19305</v>
      </c>
      <c r="J86" s="3" t="n">
        <v>1230</v>
      </c>
      <c r="K86" s="3">
        <f>ROUND(C86/I86*100,2)</f>
        <v/>
      </c>
      <c r="L86" s="3" t="n">
        <v>144</v>
      </c>
      <c r="M86" s="3" t="n">
        <v>38</v>
      </c>
      <c r="N86" s="3" t="n">
        <v>182</v>
      </c>
      <c r="O86" s="3">
        <f>ROUND(N86/J86*100,2)</f>
        <v/>
      </c>
      <c r="P86" s="3">
        <f>8914.76</f>
        <v/>
      </c>
      <c r="Q86" s="3">
        <f>ROUND(P86/H86,2)</f>
        <v/>
      </c>
      <c r="R86" s="3">
        <f>IF(K86&gt;0,ROUND(H86/K86,2),999)</f>
        <v/>
      </c>
      <c r="S86" s="3" t="inlineStr">
        <is>
          <t>Pantry</t>
        </is>
      </c>
      <c r="T86" s="3" t="n">
        <v>682</v>
      </c>
      <c r="U86" s="3" t="n">
        <v>140</v>
      </c>
      <c r="V86" s="3" t="n">
        <v>7536</v>
      </c>
      <c r="W86" s="2" t="inlineStr">
        <is>
          <t>New TikTok creative launched, high initial impression share.</t>
        </is>
      </c>
    </row>
    <row r="87">
      <c r="A87" s="4" t="inlineStr">
        <is>
          <t>2024-03-26</t>
        </is>
      </c>
      <c r="B87" s="4" t="inlineStr">
        <is>
          <t>Tuesday</t>
        </is>
      </c>
      <c r="C87" s="4" t="n">
        <v>13</v>
      </c>
      <c r="D87" s="4" t="n">
        <v>3</v>
      </c>
      <c r="E87" s="4" t="n">
        <v>1</v>
      </c>
      <c r="F87" s="4" t="inlineStr">
        <is>
          <t>Spring</t>
        </is>
      </c>
      <c r="G87" s="4" t="inlineStr">
        <is>
          <t>Ramp-Up</t>
        </is>
      </c>
      <c r="H87" s="5">
        <f>1597.17</f>
        <v/>
      </c>
      <c r="I87" s="5" t="n">
        <v>20062</v>
      </c>
      <c r="J87" s="5" t="n">
        <v>1299</v>
      </c>
      <c r="K87" s="5">
        <f>ROUND(C87/I87*100,2)</f>
        <v/>
      </c>
      <c r="L87" s="5" t="n">
        <v>66</v>
      </c>
      <c r="M87" s="5" t="n">
        <v>28</v>
      </c>
      <c r="N87" s="5" t="n">
        <v>94</v>
      </c>
      <c r="O87" s="5">
        <f>ROUND(N87/J87*100,2)</f>
        <v/>
      </c>
      <c r="P87" s="5">
        <f>4243.67</f>
        <v/>
      </c>
      <c r="Q87" s="5">
        <f>ROUND(P87/H87,2)</f>
        <v/>
      </c>
      <c r="R87" s="5">
        <f>IF(K87&gt;0,ROUND(H87/K87,2),999)</f>
        <v/>
      </c>
      <c r="S87" s="5" t="inlineStr">
        <is>
          <t>Snack Box</t>
        </is>
      </c>
      <c r="T87" s="5" t="n">
        <v>485</v>
      </c>
      <c r="U87" s="5" t="n">
        <v>268</v>
      </c>
      <c r="V87" s="5" t="n">
        <v>4402</v>
      </c>
      <c r="W87" s="4" t="inlineStr">
        <is>
          <t>Retargeting campaign paused for fatigue analysis.</t>
        </is>
      </c>
    </row>
    <row r="88">
      <c r="A88" s="2" t="inlineStr">
        <is>
          <t>2024-03-27</t>
        </is>
      </c>
      <c r="B88" s="2" t="inlineStr">
        <is>
          <t>Wednesday</t>
        </is>
      </c>
      <c r="C88" s="2" t="n">
        <v>13</v>
      </c>
      <c r="D88" s="2" t="n">
        <v>3</v>
      </c>
      <c r="E88" s="2" t="n">
        <v>1</v>
      </c>
      <c r="F88" s="2" t="inlineStr">
        <is>
          <t>Spring</t>
        </is>
      </c>
      <c r="G88" s="2" t="inlineStr">
        <is>
          <t>Ramp-Up</t>
        </is>
      </c>
      <c r="H88" s="3">
        <f>1588.10</f>
        <v/>
      </c>
      <c r="I88" s="3" t="n">
        <v>19581</v>
      </c>
      <c r="J88" s="3" t="n">
        <v>1217</v>
      </c>
      <c r="K88" s="3">
        <f>ROUND(C88/I88*100,2)</f>
        <v/>
      </c>
      <c r="L88" s="3" t="n">
        <v>96</v>
      </c>
      <c r="M88" s="3" t="n">
        <v>60</v>
      </c>
      <c r="N88" s="3" t="n">
        <v>156</v>
      </c>
      <c r="O88" s="3">
        <f>ROUND(N88/J88*100,2)</f>
        <v/>
      </c>
      <c r="P88" s="3">
        <f>7897.63</f>
        <v/>
      </c>
      <c r="Q88" s="3">
        <f>ROUND(P88/H88,2)</f>
        <v/>
      </c>
      <c r="R88" s="3">
        <f>IF(K88&gt;0,ROUND(H88/K88,2),999)</f>
        <v/>
      </c>
      <c r="S88" s="3" t="inlineStr">
        <is>
          <t>Snack Box</t>
        </is>
      </c>
      <c r="T88" s="3" t="n">
        <v>892</v>
      </c>
      <c r="U88" s="3" t="n">
        <v>235</v>
      </c>
      <c r="V88" s="3" t="n">
        <v>5604</v>
      </c>
      <c r="W88" s="2" t="inlineStr">
        <is>
          <t>Budget reallocation to top-performing Google Shopping ads.</t>
        </is>
      </c>
    </row>
    <row r="89">
      <c r="A89" s="4" t="inlineStr">
        <is>
          <t>2024-03-28</t>
        </is>
      </c>
      <c r="B89" s="4" t="inlineStr">
        <is>
          <t>Thursday</t>
        </is>
      </c>
      <c r="C89" s="4" t="n">
        <v>13</v>
      </c>
      <c r="D89" s="4" t="n">
        <v>3</v>
      </c>
      <c r="E89" s="4" t="n">
        <v>1</v>
      </c>
      <c r="F89" s="4" t="inlineStr">
        <is>
          <t>Spring</t>
        </is>
      </c>
      <c r="G89" s="4" t="inlineStr">
        <is>
          <t>Ramp-Up</t>
        </is>
      </c>
      <c r="H89" s="5">
        <f>1332.46</f>
        <v/>
      </c>
      <c r="I89" s="5" t="n">
        <v>16549</v>
      </c>
      <c r="J89" s="5" t="n">
        <v>1153</v>
      </c>
      <c r="K89" s="5">
        <f>ROUND(C89/I89*100,2)</f>
        <v/>
      </c>
      <c r="L89" s="5" t="n">
        <v>123</v>
      </c>
      <c r="M89" s="5" t="n">
        <v>50</v>
      </c>
      <c r="N89" s="5" t="n">
        <v>173</v>
      </c>
      <c r="O89" s="5">
        <f>ROUND(N89/J89*100,2)</f>
        <v/>
      </c>
      <c r="P89" s="5">
        <f>10569.79</f>
        <v/>
      </c>
      <c r="Q89" s="5">
        <f>ROUND(P89/H89,2)</f>
        <v/>
      </c>
      <c r="R89" s="5">
        <f>IF(K89&gt;0,ROUND(H89/K89,2),999)</f>
        <v/>
      </c>
      <c r="S89" s="5" t="inlineStr">
        <is>
          <t>Snack Box</t>
        </is>
      </c>
      <c r="T89" s="5" t="n">
        <v>774</v>
      </c>
      <c r="U89" s="5" t="n">
        <v>247</v>
      </c>
      <c r="V89" s="5" t="n">
        <v>6133</v>
      </c>
      <c r="W89" s="4" t="inlineStr">
        <is>
          <t>Organic search volume spike due to influencer mention.</t>
        </is>
      </c>
    </row>
    <row r="90">
      <c r="A90" s="2" t="inlineStr">
        <is>
          <t>2024-03-29</t>
        </is>
      </c>
      <c r="B90" s="2" t="inlineStr">
        <is>
          <t>Friday</t>
        </is>
      </c>
      <c r="C90" s="2" t="n">
        <v>13</v>
      </c>
      <c r="D90" s="2" t="n">
        <v>3</v>
      </c>
      <c r="E90" s="2" t="n">
        <v>1</v>
      </c>
      <c r="F90" s="2" t="inlineStr">
        <is>
          <t>Spring</t>
        </is>
      </c>
      <c r="G90" s="2" t="inlineStr">
        <is>
          <t>Ramp-Up</t>
        </is>
      </c>
      <c r="H90" s="3">
        <f>1384.06</f>
        <v/>
      </c>
      <c r="I90" s="3" t="n">
        <v>18889</v>
      </c>
      <c r="J90" s="3" t="n">
        <v>476</v>
      </c>
      <c r="K90" s="3">
        <f>ROUND(C90/I90*100,2)</f>
        <v/>
      </c>
      <c r="L90" s="3" t="n">
        <v>41</v>
      </c>
      <c r="M90" s="3" t="n">
        <v>23</v>
      </c>
      <c r="N90" s="3" t="n">
        <v>64</v>
      </c>
      <c r="O90" s="3">
        <f>ROUND(N90/J90*100,2)</f>
        <v/>
      </c>
      <c r="P90" s="3">
        <f>3045.83</f>
        <v/>
      </c>
      <c r="Q90" s="3">
        <f>ROUND(P90/H90,2)</f>
        <v/>
      </c>
      <c r="R90" s="3">
        <f>IF(K90&gt;0,ROUND(H90/K90,2),999)</f>
        <v/>
      </c>
      <c r="S90" s="3" t="inlineStr">
        <is>
          <t>Meal Kit</t>
        </is>
      </c>
      <c r="T90" s="3" t="n">
        <v>198</v>
      </c>
      <c r="U90" s="3" t="n">
        <v>53</v>
      </c>
      <c r="V90" s="3" t="n">
        <v>4719</v>
      </c>
      <c r="W90" s="2" t="inlineStr">
        <is>
          <t>Meta lookalike audience expansion successful.</t>
        </is>
      </c>
    </row>
    <row r="91">
      <c r="A91" s="4" t="inlineStr">
        <is>
          <t>2024-03-30</t>
        </is>
      </c>
      <c r="B91" s="4" t="inlineStr">
        <is>
          <t>Saturday</t>
        </is>
      </c>
      <c r="C91" s="4" t="n">
        <v>13</v>
      </c>
      <c r="D91" s="4" t="n">
        <v>3</v>
      </c>
      <c r="E91" s="4" t="n">
        <v>1</v>
      </c>
      <c r="F91" s="4" t="inlineStr">
        <is>
          <t>Spring</t>
        </is>
      </c>
      <c r="G91" s="4" t="inlineStr">
        <is>
          <t>Ramp-Up</t>
        </is>
      </c>
      <c r="H91" s="5">
        <f>944.88</f>
        <v/>
      </c>
      <c r="I91" s="5" t="n">
        <v>13601</v>
      </c>
      <c r="J91" s="5" t="n">
        <v>579</v>
      </c>
      <c r="K91" s="5">
        <f>ROUND(C91/I91*100,2)</f>
        <v/>
      </c>
      <c r="L91" s="5" t="n">
        <v>36</v>
      </c>
      <c r="M91" s="5" t="n">
        <v>25</v>
      </c>
      <c r="N91" s="5" t="n">
        <v>61</v>
      </c>
      <c r="O91" s="5">
        <f>ROUND(N91/J91*100,2)</f>
        <v/>
      </c>
      <c r="P91" s="5">
        <f>2944.38</f>
        <v/>
      </c>
      <c r="Q91" s="5">
        <f>ROUND(P91/H91,2)</f>
        <v/>
      </c>
      <c r="R91" s="5">
        <f>IF(K91&gt;0,ROUND(H91/K91,2),999)</f>
        <v/>
      </c>
      <c r="S91" s="5" t="inlineStr">
        <is>
          <t>Pantry</t>
        </is>
      </c>
      <c r="T91" s="5" t="n">
        <v>318</v>
      </c>
      <c r="U91" s="5" t="n">
        <v>110</v>
      </c>
      <c r="V91" s="5" t="n">
        <v>3915</v>
      </c>
      <c r="W91" s="4" t="inlineStr">
        <is>
          <t>Strong Friday engagement, peak subscription signups.</t>
        </is>
      </c>
    </row>
    <row r="92">
      <c r="A92" s="2" t="inlineStr">
        <is>
          <t>2024-03-31</t>
        </is>
      </c>
      <c r="B92" s="2" t="inlineStr">
        <is>
          <t>Sunday</t>
        </is>
      </c>
      <c r="C92" s="2" t="n">
        <v>13</v>
      </c>
      <c r="D92" s="2" t="n">
        <v>3</v>
      </c>
      <c r="E92" s="2" t="n">
        <v>1</v>
      </c>
      <c r="F92" s="2" t="inlineStr">
        <is>
          <t>Spring</t>
        </is>
      </c>
      <c r="G92" s="2" t="inlineStr">
        <is>
          <t>Ramp-Up</t>
        </is>
      </c>
      <c r="H92" s="3">
        <f>950.24</f>
        <v/>
      </c>
      <c r="I92" s="3" t="n">
        <v>11914</v>
      </c>
      <c r="J92" s="3" t="n">
        <v>693</v>
      </c>
      <c r="K92" s="3">
        <f>ROUND(C92/I92*100,2)</f>
        <v/>
      </c>
      <c r="L92" s="3" t="n">
        <v>78</v>
      </c>
      <c r="M92" s="3" t="n">
        <v>38</v>
      </c>
      <c r="N92" s="3" t="n">
        <v>116</v>
      </c>
      <c r="O92" s="3">
        <f>ROUND(N92/J92*100,2)</f>
        <v/>
      </c>
      <c r="P92" s="3">
        <f>6626.57</f>
        <v/>
      </c>
      <c r="Q92" s="3">
        <f>ROUND(P92/H92,2)</f>
        <v/>
      </c>
      <c r="R92" s="3">
        <f>IF(K92&gt;0,ROUND(H92/K92,2),999)</f>
        <v/>
      </c>
      <c r="S92" s="3" t="inlineStr">
        <is>
          <t>Snack Box</t>
        </is>
      </c>
      <c r="T92" s="3" t="n">
        <v>264</v>
      </c>
      <c r="U92" s="3" t="n">
        <v>146</v>
      </c>
      <c r="V92" s="3" t="n">
        <v>2995</v>
      </c>
      <c r="W92" s="2" t="inlineStr">
        <is>
          <t>Strong Friday engagement, peak subscription signups.</t>
        </is>
      </c>
    </row>
    <row r="93">
      <c r="A93" s="4" t="inlineStr">
        <is>
          <t>2024-04-01</t>
        </is>
      </c>
      <c r="B93" s="4" t="inlineStr">
        <is>
          <t>Monday</t>
        </is>
      </c>
      <c r="C93" s="4" t="n">
        <v>14</v>
      </c>
      <c r="D93" s="4" t="n">
        <v>4</v>
      </c>
      <c r="E93" s="4" t="n">
        <v>2</v>
      </c>
      <c r="F93" s="4" t="inlineStr">
        <is>
          <t>Spring</t>
        </is>
      </c>
      <c r="G93" s="4" t="inlineStr">
        <is>
          <t>Optimization</t>
        </is>
      </c>
      <c r="H93" s="5">
        <f>1452.42</f>
        <v/>
      </c>
      <c r="I93" s="5" t="n">
        <v>13600</v>
      </c>
      <c r="J93" s="5" t="n">
        <v>630</v>
      </c>
      <c r="K93" s="5">
        <f>ROUND(C93/I93*100,2)</f>
        <v/>
      </c>
      <c r="L93" s="5" t="n">
        <v>43</v>
      </c>
      <c r="M93" s="5" t="n">
        <v>37</v>
      </c>
      <c r="N93" s="5" t="n">
        <v>80</v>
      </c>
      <c r="O93" s="5">
        <f>ROUND(N93/J93*100,2)</f>
        <v/>
      </c>
      <c r="P93" s="5">
        <f>3642.58</f>
        <v/>
      </c>
      <c r="Q93" s="5">
        <f>ROUND(P93/H93,2)</f>
        <v/>
      </c>
      <c r="R93" s="5">
        <f>IF(K93&gt;0,ROUND(H93/K93,2),999)</f>
        <v/>
      </c>
      <c r="S93" s="5" t="inlineStr">
        <is>
          <t>Snack Box</t>
        </is>
      </c>
      <c r="T93" s="5" t="n">
        <v>238</v>
      </c>
      <c r="U93" s="5" t="n">
        <v>131</v>
      </c>
      <c r="V93" s="5" t="n">
        <v>2115</v>
      </c>
      <c r="W93" s="4" t="inlineStr">
        <is>
          <t>Mobile conversion rate optimization showing 12% improvement.</t>
        </is>
      </c>
    </row>
    <row r="94">
      <c r="A94" s="2" t="inlineStr">
        <is>
          <t>2024-04-02</t>
        </is>
      </c>
      <c r="B94" s="2" t="inlineStr">
        <is>
          <t>Tuesday</t>
        </is>
      </c>
      <c r="C94" s="2" t="n">
        <v>14</v>
      </c>
      <c r="D94" s="2" t="n">
        <v>4</v>
      </c>
      <c r="E94" s="2" t="n">
        <v>2</v>
      </c>
      <c r="F94" s="2" t="inlineStr">
        <is>
          <t>Spring</t>
        </is>
      </c>
      <c r="G94" s="2" t="inlineStr">
        <is>
          <t>Optimization</t>
        </is>
      </c>
      <c r="H94" s="3">
        <f>1654.92</f>
        <v/>
      </c>
      <c r="I94" s="3" t="n">
        <v>14635</v>
      </c>
      <c r="J94" s="3" t="n">
        <v>1108</v>
      </c>
      <c r="K94" s="3">
        <f>ROUND(C94/I94*100,2)</f>
        <v/>
      </c>
      <c r="L94" s="3" t="n">
        <v>70</v>
      </c>
      <c r="M94" s="3" t="n">
        <v>48</v>
      </c>
      <c r="N94" s="3" t="n">
        <v>118</v>
      </c>
      <c r="O94" s="3">
        <f>ROUND(N94/J94*100,2)</f>
        <v/>
      </c>
      <c r="P94" s="3">
        <f>6270.49</f>
        <v/>
      </c>
      <c r="Q94" s="3">
        <f>ROUND(P94/H94,2)</f>
        <v/>
      </c>
      <c r="R94" s="3">
        <f>IF(K94&gt;0,ROUND(H94/K94,2),999)</f>
        <v/>
      </c>
      <c r="S94" s="3" t="inlineStr">
        <is>
          <t>Meal Kit</t>
        </is>
      </c>
      <c r="T94" s="3" t="n">
        <v>837</v>
      </c>
      <c r="U94" s="3" t="n">
        <v>68</v>
      </c>
      <c r="V94" s="3" t="n">
        <v>5430</v>
      </c>
      <c r="W94" s="2" t="inlineStr">
        <is>
          <t>Weekend dip in conversions, organic traffic remains steady.</t>
        </is>
      </c>
    </row>
    <row r="95">
      <c r="A95" s="4" t="inlineStr">
        <is>
          <t>2024-04-03</t>
        </is>
      </c>
      <c r="B95" s="4" t="inlineStr">
        <is>
          <t>Wednesday</t>
        </is>
      </c>
      <c r="C95" s="4" t="n">
        <v>14</v>
      </c>
      <c r="D95" s="4" t="n">
        <v>4</v>
      </c>
      <c r="E95" s="4" t="n">
        <v>2</v>
      </c>
      <c r="F95" s="4" t="inlineStr">
        <is>
          <t>Spring</t>
        </is>
      </c>
      <c r="G95" s="4" t="inlineStr">
        <is>
          <t>Optimization</t>
        </is>
      </c>
      <c r="H95" s="5">
        <f>1770.91</f>
        <v/>
      </c>
      <c r="I95" s="5" t="n">
        <v>25444</v>
      </c>
      <c r="J95" s="5" t="n">
        <v>1649</v>
      </c>
      <c r="K95" s="5">
        <f>ROUND(C95/I95*100,2)</f>
        <v/>
      </c>
      <c r="L95" s="5" t="n">
        <v>128</v>
      </c>
      <c r="M95" s="5" t="n">
        <v>87</v>
      </c>
      <c r="N95" s="5" t="n">
        <v>215</v>
      </c>
      <c r="O95" s="5">
        <f>ROUND(N95/J95*100,2)</f>
        <v/>
      </c>
      <c r="P95" s="5">
        <f>10723.47</f>
        <v/>
      </c>
      <c r="Q95" s="5">
        <f>ROUND(P95/H95,2)</f>
        <v/>
      </c>
      <c r="R95" s="5">
        <f>IF(K95&gt;0,ROUND(H95/K95,2),999)</f>
        <v/>
      </c>
      <c r="S95" s="5" t="inlineStr">
        <is>
          <t>Snack Box</t>
        </is>
      </c>
      <c r="T95" s="5" t="n">
        <v>772</v>
      </c>
      <c r="U95" s="5" t="n">
        <v>104</v>
      </c>
      <c r="V95" s="5" t="n">
        <v>6640</v>
      </c>
      <c r="W95" s="4" t="inlineStr">
        <is>
          <t>New TikTok creative launched, high initial impression share.</t>
        </is>
      </c>
    </row>
    <row r="96">
      <c r="A96" s="2" t="inlineStr">
        <is>
          <t>2024-04-04</t>
        </is>
      </c>
      <c r="B96" s="2" t="inlineStr">
        <is>
          <t>Thursday</t>
        </is>
      </c>
      <c r="C96" s="2" t="n">
        <v>14</v>
      </c>
      <c r="D96" s="2" t="n">
        <v>4</v>
      </c>
      <c r="E96" s="2" t="n">
        <v>2</v>
      </c>
      <c r="F96" s="2" t="inlineStr">
        <is>
          <t>Spring</t>
        </is>
      </c>
      <c r="G96" s="2" t="inlineStr">
        <is>
          <t>Optimization</t>
        </is>
      </c>
      <c r="H96" s="3">
        <f>1817.05</f>
        <v/>
      </c>
      <c r="I96" s="3" t="n">
        <v>16864</v>
      </c>
      <c r="J96" s="3" t="n">
        <v>809</v>
      </c>
      <c r="K96" s="3">
        <f>ROUND(C96/I96*100,2)</f>
        <v/>
      </c>
      <c r="L96" s="3" t="n">
        <v>58</v>
      </c>
      <c r="M96" s="3" t="n">
        <v>24</v>
      </c>
      <c r="N96" s="3" t="n">
        <v>82</v>
      </c>
      <c r="O96" s="3">
        <f>ROUND(N96/J96*100,2)</f>
        <v/>
      </c>
      <c r="P96" s="3">
        <f>5093.69</f>
        <v/>
      </c>
      <c r="Q96" s="3">
        <f>ROUND(P96/H96,2)</f>
        <v/>
      </c>
      <c r="R96" s="3">
        <f>IF(K96&gt;0,ROUND(H96/K96,2),999)</f>
        <v/>
      </c>
      <c r="S96" s="3" t="inlineStr">
        <is>
          <t>Meal Kit</t>
        </is>
      </c>
      <c r="T96" s="3" t="n">
        <v>616</v>
      </c>
      <c r="U96" s="3" t="n">
        <v>90</v>
      </c>
      <c r="V96" s="3" t="n">
        <v>4137</v>
      </c>
      <c r="W96" s="2" t="inlineStr">
        <is>
          <t>Strong Friday engagement, peak subscription signups.</t>
        </is>
      </c>
    </row>
    <row r="97">
      <c r="A97" s="4" t="inlineStr">
        <is>
          <t>2024-04-05</t>
        </is>
      </c>
      <c r="B97" s="4" t="inlineStr">
        <is>
          <t>Friday</t>
        </is>
      </c>
      <c r="C97" s="4" t="n">
        <v>14</v>
      </c>
      <c r="D97" s="4" t="n">
        <v>4</v>
      </c>
      <c r="E97" s="4" t="n">
        <v>2</v>
      </c>
      <c r="F97" s="4" t="inlineStr">
        <is>
          <t>Spring</t>
        </is>
      </c>
      <c r="G97" s="4" t="inlineStr">
        <is>
          <t>Optimization</t>
        </is>
      </c>
      <c r="H97" s="5">
        <f>1832.34</f>
        <v/>
      </c>
      <c r="I97" s="5" t="n">
        <v>22041</v>
      </c>
      <c r="J97" s="5" t="n">
        <v>1068</v>
      </c>
      <c r="K97" s="5">
        <f>ROUND(C97/I97*100,2)</f>
        <v/>
      </c>
      <c r="L97" s="5" t="n">
        <v>124</v>
      </c>
      <c r="M97" s="5" t="n">
        <v>46</v>
      </c>
      <c r="N97" s="5" t="n">
        <v>170</v>
      </c>
      <c r="O97" s="5">
        <f>ROUND(N97/J97*100,2)</f>
        <v/>
      </c>
      <c r="P97" s="5">
        <f>7714.38</f>
        <v/>
      </c>
      <c r="Q97" s="5">
        <f>ROUND(P97/H97,2)</f>
        <v/>
      </c>
      <c r="R97" s="5">
        <f>IF(K97&gt;0,ROUND(H97/K97,2),999)</f>
        <v/>
      </c>
      <c r="S97" s="5" t="inlineStr">
        <is>
          <t>Snack Box</t>
        </is>
      </c>
      <c r="T97" s="5" t="n">
        <v>850</v>
      </c>
      <c r="U97" s="5" t="n">
        <v>107</v>
      </c>
      <c r="V97" s="5" t="n">
        <v>4499</v>
      </c>
      <c r="W97" s="4" t="inlineStr">
        <is>
          <t>Tuesday peak for email nurture campaigns.</t>
        </is>
      </c>
    </row>
    <row r="98">
      <c r="A98" s="2" t="inlineStr">
        <is>
          <t>2024-04-06</t>
        </is>
      </c>
      <c r="B98" s="2" t="inlineStr">
        <is>
          <t>Saturday</t>
        </is>
      </c>
      <c r="C98" s="2" t="n">
        <v>14</v>
      </c>
      <c r="D98" s="2" t="n">
        <v>4</v>
      </c>
      <c r="E98" s="2" t="n">
        <v>2</v>
      </c>
      <c r="F98" s="2" t="inlineStr">
        <is>
          <t>Spring</t>
        </is>
      </c>
      <c r="G98" s="2" t="inlineStr">
        <is>
          <t>Optimization</t>
        </is>
      </c>
      <c r="H98" s="3">
        <f>1206.44</f>
        <v/>
      </c>
      <c r="I98" s="3" t="n">
        <v>16028</v>
      </c>
      <c r="J98" s="3" t="n">
        <v>1172</v>
      </c>
      <c r="K98" s="3">
        <f>ROUND(C98/I98*100,2)</f>
        <v/>
      </c>
      <c r="L98" s="3" t="n">
        <v>137</v>
      </c>
      <c r="M98" s="3" t="n">
        <v>62</v>
      </c>
      <c r="N98" s="3" t="n">
        <v>199</v>
      </c>
      <c r="O98" s="3">
        <f>ROUND(N98/J98*100,2)</f>
        <v/>
      </c>
      <c r="P98" s="3">
        <f>11809.15</f>
        <v/>
      </c>
      <c r="Q98" s="3">
        <f>ROUND(P98/H98,2)</f>
        <v/>
      </c>
      <c r="R98" s="3">
        <f>IF(K98&gt;0,ROUND(H98/K98,2),999)</f>
        <v/>
      </c>
      <c r="S98" s="3" t="inlineStr">
        <is>
          <t>Meal Kit</t>
        </is>
      </c>
      <c r="T98" s="3" t="n">
        <v>462</v>
      </c>
      <c r="U98" s="3" t="n">
        <v>166</v>
      </c>
      <c r="V98" s="3" t="n">
        <v>2523</v>
      </c>
      <c r="W98" s="2" t="inlineStr">
        <is>
          <t>High-intent keyword performance exceeding benchmarks.</t>
        </is>
      </c>
    </row>
    <row r="99">
      <c r="A99" s="4" t="inlineStr">
        <is>
          <t>2024-04-07</t>
        </is>
      </c>
      <c r="B99" s="4" t="inlineStr">
        <is>
          <t>Sunday</t>
        </is>
      </c>
      <c r="C99" s="4" t="n">
        <v>14</v>
      </c>
      <c r="D99" s="4" t="n">
        <v>4</v>
      </c>
      <c r="E99" s="4" t="n">
        <v>2</v>
      </c>
      <c r="F99" s="4" t="inlineStr">
        <is>
          <t>Spring</t>
        </is>
      </c>
      <c r="G99" s="4" t="inlineStr">
        <is>
          <t>Optimization</t>
        </is>
      </c>
      <c r="H99" s="5">
        <f>1326.07</f>
        <v/>
      </c>
      <c r="I99" s="5" t="n">
        <v>14320</v>
      </c>
      <c r="J99" s="5" t="n">
        <v>453</v>
      </c>
      <c r="K99" s="5">
        <f>ROUND(C99/I99*100,2)</f>
        <v/>
      </c>
      <c r="L99" s="5" t="n">
        <v>30</v>
      </c>
      <c r="M99" s="5" t="n">
        <v>23</v>
      </c>
      <c r="N99" s="5" t="n">
        <v>53</v>
      </c>
      <c r="O99" s="5">
        <f>ROUND(N99/J99*100,2)</f>
        <v/>
      </c>
      <c r="P99" s="5">
        <f>2996.81</f>
        <v/>
      </c>
      <c r="Q99" s="5">
        <f>ROUND(P99/H99,2)</f>
        <v/>
      </c>
      <c r="R99" s="5">
        <f>IF(K99&gt;0,ROUND(H99/K99,2),999)</f>
        <v/>
      </c>
      <c r="S99" s="5" t="inlineStr">
        <is>
          <t>Meal Kit</t>
        </is>
      </c>
      <c r="T99" s="5" t="n">
        <v>262</v>
      </c>
      <c r="U99" s="5" t="n">
        <v>97</v>
      </c>
      <c r="V99" s="5" t="n">
        <v>2696</v>
      </c>
      <c r="W99" s="4" t="inlineStr">
        <is>
          <t>Weather-dependent category performance noted.</t>
        </is>
      </c>
    </row>
    <row r="100">
      <c r="A100" s="2" t="inlineStr">
        <is>
          <t>2024-04-08</t>
        </is>
      </c>
      <c r="B100" s="2" t="inlineStr">
        <is>
          <t>Monday</t>
        </is>
      </c>
      <c r="C100" s="2" t="n">
        <v>15</v>
      </c>
      <c r="D100" s="2" t="n">
        <v>4</v>
      </c>
      <c r="E100" s="2" t="n">
        <v>2</v>
      </c>
      <c r="F100" s="2" t="inlineStr">
        <is>
          <t>Spring</t>
        </is>
      </c>
      <c r="G100" s="2" t="inlineStr">
        <is>
          <t>Optimization</t>
        </is>
      </c>
      <c r="H100" s="3">
        <f>1896.48</f>
        <v/>
      </c>
      <c r="I100" s="3" t="n">
        <v>24028</v>
      </c>
      <c r="J100" s="3" t="n">
        <v>1256</v>
      </c>
      <c r="K100" s="3">
        <f>ROUND(C100/I100*100,2)</f>
        <v/>
      </c>
      <c r="L100" s="3" t="n">
        <v>67</v>
      </c>
      <c r="M100" s="3" t="n">
        <v>72</v>
      </c>
      <c r="N100" s="3" t="n">
        <v>139</v>
      </c>
      <c r="O100" s="3">
        <f>ROUND(N100/J100*100,2)</f>
        <v/>
      </c>
      <c r="P100" s="3">
        <f>6702.92</f>
        <v/>
      </c>
      <c r="Q100" s="3">
        <f>ROUND(P100/H100,2)</f>
        <v/>
      </c>
      <c r="R100" s="3">
        <f>IF(K100&gt;0,ROUND(H100/K100,2),999)</f>
        <v/>
      </c>
      <c r="S100" s="3" t="inlineStr">
        <is>
          <t>Snack Box</t>
        </is>
      </c>
      <c r="T100" s="3" t="n">
        <v>662</v>
      </c>
      <c r="U100" s="3" t="n">
        <v>176</v>
      </c>
      <c r="V100" s="3" t="n">
        <v>7072</v>
      </c>
      <c r="W100" s="2" t="inlineStr">
        <is>
          <t>Weekend dip in conversions, organic traffic remains steady.</t>
        </is>
      </c>
    </row>
    <row r="101">
      <c r="A101" s="4" t="inlineStr">
        <is>
          <t>2024-04-09</t>
        </is>
      </c>
      <c r="B101" s="4" t="inlineStr">
        <is>
          <t>Tuesday</t>
        </is>
      </c>
      <c r="C101" s="4" t="n">
        <v>15</v>
      </c>
      <c r="D101" s="4" t="n">
        <v>4</v>
      </c>
      <c r="E101" s="4" t="n">
        <v>2</v>
      </c>
      <c r="F101" s="4" t="inlineStr">
        <is>
          <t>Spring</t>
        </is>
      </c>
      <c r="G101" s="4" t="inlineStr">
        <is>
          <t>Optimization</t>
        </is>
      </c>
      <c r="H101" s="5">
        <f>1655.92</f>
        <v/>
      </c>
      <c r="I101" s="5" t="n">
        <v>14271</v>
      </c>
      <c r="J101" s="5" t="n">
        <v>307</v>
      </c>
      <c r="K101" s="5">
        <f>ROUND(C101/I101*100,2)</f>
        <v/>
      </c>
      <c r="L101" s="5" t="n">
        <v>21</v>
      </c>
      <c r="M101" s="5" t="n">
        <v>9</v>
      </c>
      <c r="N101" s="5" t="n">
        <v>30</v>
      </c>
      <c r="O101" s="5">
        <f>ROUND(N101/J101*100,2)</f>
        <v/>
      </c>
      <c r="P101" s="5">
        <f>1890.20</f>
        <v/>
      </c>
      <c r="Q101" s="5">
        <f>ROUND(P101/H101,2)</f>
        <v/>
      </c>
      <c r="R101" s="5">
        <f>IF(K101&gt;0,ROUND(H101/K101,2),999)</f>
        <v/>
      </c>
      <c r="S101" s="5" t="inlineStr">
        <is>
          <t>Snack Box</t>
        </is>
      </c>
      <c r="T101" s="5" t="n">
        <v>233</v>
      </c>
      <c r="U101" s="5" t="n">
        <v>19</v>
      </c>
      <c r="V101" s="5" t="n">
        <v>5625</v>
      </c>
      <c r="W101" s="4" t="inlineStr">
        <is>
          <t>Organic search volume spike due to influencer mention.</t>
        </is>
      </c>
    </row>
    <row r="102">
      <c r="A102" s="2" t="inlineStr">
        <is>
          <t>2024-04-10</t>
        </is>
      </c>
      <c r="B102" s="2" t="inlineStr">
        <is>
          <t>Wednesday</t>
        </is>
      </c>
      <c r="C102" s="2" t="n">
        <v>15</v>
      </c>
      <c r="D102" s="2" t="n">
        <v>4</v>
      </c>
      <c r="E102" s="2" t="n">
        <v>2</v>
      </c>
      <c r="F102" s="2" t="inlineStr">
        <is>
          <t>Spring</t>
        </is>
      </c>
      <c r="G102" s="2" t="inlineStr">
        <is>
          <t>Optimization</t>
        </is>
      </c>
      <c r="H102" s="3">
        <f>1608.01</f>
        <v/>
      </c>
      <c r="I102" s="3" t="n">
        <v>20641</v>
      </c>
      <c r="J102" s="3" t="n">
        <v>1019</v>
      </c>
      <c r="K102" s="3">
        <f>ROUND(C102/I102*100,2)</f>
        <v/>
      </c>
      <c r="L102" s="3" t="n">
        <v>54</v>
      </c>
      <c r="M102" s="3" t="n">
        <v>46</v>
      </c>
      <c r="N102" s="3" t="n">
        <v>100</v>
      </c>
      <c r="O102" s="3">
        <f>ROUND(N102/J102*100,2)</f>
        <v/>
      </c>
      <c r="P102" s="3">
        <f>6235.38</f>
        <v/>
      </c>
      <c r="Q102" s="3">
        <f>ROUND(P102/H102,2)</f>
        <v/>
      </c>
      <c r="R102" s="3">
        <f>IF(K102&gt;0,ROUND(H102/K102,2),999)</f>
        <v/>
      </c>
      <c r="S102" s="3" t="inlineStr">
        <is>
          <t>Meal Kit</t>
        </is>
      </c>
      <c r="T102" s="3" t="n">
        <v>709</v>
      </c>
      <c r="U102" s="3" t="n">
        <v>165</v>
      </c>
      <c r="V102" s="3" t="n">
        <v>5233</v>
      </c>
      <c r="W102" s="2" t="inlineStr">
        <is>
          <t>Bundle promotion resonating with families segment.</t>
        </is>
      </c>
    </row>
    <row r="103">
      <c r="A103" s="4" t="inlineStr">
        <is>
          <t>2024-04-11</t>
        </is>
      </c>
      <c r="B103" s="4" t="inlineStr">
        <is>
          <t>Thursday</t>
        </is>
      </c>
      <c r="C103" s="4" t="n">
        <v>15</v>
      </c>
      <c r="D103" s="4" t="n">
        <v>4</v>
      </c>
      <c r="E103" s="4" t="n">
        <v>2</v>
      </c>
      <c r="F103" s="4" t="inlineStr">
        <is>
          <t>Spring</t>
        </is>
      </c>
      <c r="G103" s="4" t="inlineStr">
        <is>
          <t>Optimization</t>
        </is>
      </c>
      <c r="H103" s="5">
        <f>1714.50</f>
        <v/>
      </c>
      <c r="I103" s="5" t="n">
        <v>22832</v>
      </c>
      <c r="J103" s="5" t="n">
        <v>533</v>
      </c>
      <c r="K103" s="5">
        <f>ROUND(C103/I103*100,2)</f>
        <v/>
      </c>
      <c r="L103" s="5" t="n">
        <v>33</v>
      </c>
      <c r="M103" s="5" t="n">
        <v>11</v>
      </c>
      <c r="N103" s="5" t="n">
        <v>44</v>
      </c>
      <c r="O103" s="5">
        <f>ROUND(N103/J103*100,2)</f>
        <v/>
      </c>
      <c r="P103" s="5">
        <f>2470.64</f>
        <v/>
      </c>
      <c r="Q103" s="5">
        <f>ROUND(P103/H103,2)</f>
        <v/>
      </c>
      <c r="R103" s="5">
        <f>IF(K103&gt;0,ROUND(H103/K103,2),999)</f>
        <v/>
      </c>
      <c r="S103" s="5" t="inlineStr">
        <is>
          <t>Meal Kit</t>
        </is>
      </c>
      <c r="T103" s="5" t="n">
        <v>291</v>
      </c>
      <c r="U103" s="5" t="n">
        <v>106</v>
      </c>
      <c r="V103" s="5" t="n">
        <v>2558</v>
      </c>
      <c r="W103" s="4" t="inlineStr">
        <is>
          <t>Weather-dependent category performance noted.</t>
        </is>
      </c>
    </row>
    <row r="104">
      <c r="A104" s="2" t="inlineStr">
        <is>
          <t>2024-04-12</t>
        </is>
      </c>
      <c r="B104" s="2" t="inlineStr">
        <is>
          <t>Friday</t>
        </is>
      </c>
      <c r="C104" s="2" t="n">
        <v>15</v>
      </c>
      <c r="D104" s="2" t="n">
        <v>4</v>
      </c>
      <c r="E104" s="2" t="n">
        <v>2</v>
      </c>
      <c r="F104" s="2" t="inlineStr">
        <is>
          <t>Spring</t>
        </is>
      </c>
      <c r="G104" s="2" t="inlineStr">
        <is>
          <t>Optimization</t>
        </is>
      </c>
      <c r="H104" s="3">
        <f>1567.79</f>
        <v/>
      </c>
      <c r="I104" s="3" t="n">
        <v>21079</v>
      </c>
      <c r="J104" s="3" t="n">
        <v>1191</v>
      </c>
      <c r="K104" s="3">
        <f>ROUND(C104/I104*100,2)</f>
        <v/>
      </c>
      <c r="L104" s="3" t="n">
        <v>104</v>
      </c>
      <c r="M104" s="3" t="n">
        <v>59</v>
      </c>
      <c r="N104" s="3" t="n">
        <v>163</v>
      </c>
      <c r="O104" s="3">
        <f>ROUND(N104/J104*100,2)</f>
        <v/>
      </c>
      <c r="P104" s="3">
        <f>8682.23</f>
        <v/>
      </c>
      <c r="Q104" s="3">
        <f>ROUND(P104/H104,2)</f>
        <v/>
      </c>
      <c r="R104" s="3">
        <f>IF(K104&gt;0,ROUND(H104/K104,2),999)</f>
        <v/>
      </c>
      <c r="S104" s="3" t="inlineStr">
        <is>
          <t>Pantry</t>
        </is>
      </c>
      <c r="T104" s="3" t="n">
        <v>805</v>
      </c>
      <c r="U104" s="3" t="n">
        <v>133</v>
      </c>
      <c r="V104" s="3" t="n">
        <v>3210</v>
      </c>
      <c r="W104" s="2" t="inlineStr">
        <is>
          <t>Weekend dip in conversions, organic traffic remains steady.</t>
        </is>
      </c>
    </row>
    <row r="105">
      <c r="A105" s="4" t="inlineStr">
        <is>
          <t>2024-04-13</t>
        </is>
      </c>
      <c r="B105" s="4" t="inlineStr">
        <is>
          <t>Saturday</t>
        </is>
      </c>
      <c r="C105" s="4" t="n">
        <v>15</v>
      </c>
      <c r="D105" s="4" t="n">
        <v>4</v>
      </c>
      <c r="E105" s="4" t="n">
        <v>2</v>
      </c>
      <c r="F105" s="4" t="inlineStr">
        <is>
          <t>Spring</t>
        </is>
      </c>
      <c r="G105" s="4" t="inlineStr">
        <is>
          <t>Optimization</t>
        </is>
      </c>
      <c r="H105" s="5">
        <f>1115.33</f>
        <v/>
      </c>
      <c r="I105" s="5" t="n">
        <v>11649</v>
      </c>
      <c r="J105" s="5" t="n">
        <v>632</v>
      </c>
      <c r="K105" s="5">
        <f>ROUND(C105/I105*100,2)</f>
        <v/>
      </c>
      <c r="L105" s="5" t="n">
        <v>62</v>
      </c>
      <c r="M105" s="5" t="n">
        <v>19</v>
      </c>
      <c r="N105" s="5" t="n">
        <v>81</v>
      </c>
      <c r="O105" s="5">
        <f>ROUND(N105/J105*100,2)</f>
        <v/>
      </c>
      <c r="P105" s="5">
        <f>4425.03</f>
        <v/>
      </c>
      <c r="Q105" s="5">
        <f>ROUND(P105/H105,2)</f>
        <v/>
      </c>
      <c r="R105" s="5">
        <f>IF(K105&gt;0,ROUND(H105/K105,2),999)</f>
        <v/>
      </c>
      <c r="S105" s="5" t="inlineStr">
        <is>
          <t>Meal Kit</t>
        </is>
      </c>
      <c r="T105" s="5" t="n">
        <v>198</v>
      </c>
      <c r="U105" s="5" t="n">
        <v>61</v>
      </c>
      <c r="V105" s="5" t="n">
        <v>3409</v>
      </c>
      <c r="W105" s="4" t="inlineStr">
        <is>
          <t>Seasonal surge in health-conscious persona segments.</t>
        </is>
      </c>
    </row>
    <row r="106">
      <c r="A106" s="2" t="inlineStr">
        <is>
          <t>2024-04-14</t>
        </is>
      </c>
      <c r="B106" s="2" t="inlineStr">
        <is>
          <t>Sunday</t>
        </is>
      </c>
      <c r="C106" s="2" t="n">
        <v>15</v>
      </c>
      <c r="D106" s="2" t="n">
        <v>4</v>
      </c>
      <c r="E106" s="2" t="n">
        <v>2</v>
      </c>
      <c r="F106" s="2" t="inlineStr">
        <is>
          <t>Spring</t>
        </is>
      </c>
      <c r="G106" s="2" t="inlineStr">
        <is>
          <t>Optimization</t>
        </is>
      </c>
      <c r="H106" s="3">
        <f>1203.95</f>
        <v/>
      </c>
      <c r="I106" s="3" t="n">
        <v>9879</v>
      </c>
      <c r="J106" s="3" t="n">
        <v>450</v>
      </c>
      <c r="K106" s="3">
        <f>ROUND(C106/I106*100,2)</f>
        <v/>
      </c>
      <c r="L106" s="3" t="n">
        <v>28</v>
      </c>
      <c r="M106" s="3" t="n">
        <v>20</v>
      </c>
      <c r="N106" s="3" t="n">
        <v>48</v>
      </c>
      <c r="O106" s="3">
        <f>ROUND(N106/J106*100,2)</f>
        <v/>
      </c>
      <c r="P106" s="3">
        <f>2695.47</f>
        <v/>
      </c>
      <c r="Q106" s="3">
        <f>ROUND(P106/H106,2)</f>
        <v/>
      </c>
      <c r="R106" s="3">
        <f>IF(K106&gt;0,ROUND(H106/K106,2),999)</f>
        <v/>
      </c>
      <c r="S106" s="3" t="inlineStr">
        <is>
          <t>Pantry</t>
        </is>
      </c>
      <c r="T106" s="3" t="n">
        <v>215</v>
      </c>
      <c r="U106" s="3" t="n">
        <v>35</v>
      </c>
      <c r="V106" s="3" t="n">
        <v>2835</v>
      </c>
      <c r="W106" s="2" t="inlineStr">
        <is>
          <t>Weather-dependent category performance noted.</t>
        </is>
      </c>
    </row>
    <row r="107">
      <c r="A107" s="4" t="inlineStr">
        <is>
          <t>2024-04-15</t>
        </is>
      </c>
      <c r="B107" s="4" t="inlineStr">
        <is>
          <t>Monday</t>
        </is>
      </c>
      <c r="C107" s="4" t="n">
        <v>16</v>
      </c>
      <c r="D107" s="4" t="n">
        <v>4</v>
      </c>
      <c r="E107" s="4" t="n">
        <v>2</v>
      </c>
      <c r="F107" s="4" t="inlineStr">
        <is>
          <t>Spring</t>
        </is>
      </c>
      <c r="G107" s="4" t="inlineStr">
        <is>
          <t>Optimization</t>
        </is>
      </c>
      <c r="H107" s="5">
        <f>1810.02</f>
        <v/>
      </c>
      <c r="I107" s="5" t="n">
        <v>20942</v>
      </c>
      <c r="J107" s="5" t="n">
        <v>1524</v>
      </c>
      <c r="K107" s="5">
        <f>ROUND(C107/I107*100,2)</f>
        <v/>
      </c>
      <c r="L107" s="5" t="n">
        <v>169</v>
      </c>
      <c r="M107" s="5" t="n">
        <v>69</v>
      </c>
      <c r="N107" s="5" t="n">
        <v>238</v>
      </c>
      <c r="O107" s="5">
        <f>ROUND(N107/J107*100,2)</f>
        <v/>
      </c>
      <c r="P107" s="5">
        <f>13380.61</f>
        <v/>
      </c>
      <c r="Q107" s="5">
        <f>ROUND(P107/H107,2)</f>
        <v/>
      </c>
      <c r="R107" s="5">
        <f>IF(K107&gt;0,ROUND(H107/K107,2),999)</f>
        <v/>
      </c>
      <c r="S107" s="5" t="inlineStr">
        <is>
          <t>Snack Box</t>
        </is>
      </c>
      <c r="T107" s="5" t="n">
        <v>804</v>
      </c>
      <c r="U107" s="5" t="n">
        <v>154</v>
      </c>
      <c r="V107" s="5" t="n">
        <v>2287</v>
      </c>
      <c r="W107" s="4" t="inlineStr">
        <is>
          <t>High-intent keyword performance exceeding benchmarks.</t>
        </is>
      </c>
    </row>
    <row r="108">
      <c r="A108" s="2" t="inlineStr">
        <is>
          <t>2024-04-16</t>
        </is>
      </c>
      <c r="B108" s="2" t="inlineStr">
        <is>
          <t>Tuesday</t>
        </is>
      </c>
      <c r="C108" s="2" t="n">
        <v>16</v>
      </c>
      <c r="D108" s="2" t="n">
        <v>4</v>
      </c>
      <c r="E108" s="2" t="n">
        <v>2</v>
      </c>
      <c r="F108" s="2" t="inlineStr">
        <is>
          <t>Spring</t>
        </is>
      </c>
      <c r="G108" s="2" t="inlineStr">
        <is>
          <t>Optimization</t>
        </is>
      </c>
      <c r="H108" s="3">
        <f>1819.89</f>
        <v/>
      </c>
      <c r="I108" s="3" t="n">
        <v>25373</v>
      </c>
      <c r="J108" s="3" t="n">
        <v>1138</v>
      </c>
      <c r="K108" s="3">
        <f>ROUND(C108/I108*100,2)</f>
        <v/>
      </c>
      <c r="L108" s="3" t="n">
        <v>78</v>
      </c>
      <c r="M108" s="3" t="n">
        <v>37</v>
      </c>
      <c r="N108" s="3" t="n">
        <v>115</v>
      </c>
      <c r="O108" s="3">
        <f>ROUND(N108/J108*100,2)</f>
        <v/>
      </c>
      <c r="P108" s="3">
        <f>6846.82</f>
        <v/>
      </c>
      <c r="Q108" s="3">
        <f>ROUND(P108/H108,2)</f>
        <v/>
      </c>
      <c r="R108" s="3">
        <f>IF(K108&gt;0,ROUND(H108/K108,2),999)</f>
        <v/>
      </c>
      <c r="S108" s="3" t="inlineStr">
        <is>
          <t>Pantry</t>
        </is>
      </c>
      <c r="T108" s="3" t="n">
        <v>510</v>
      </c>
      <c r="U108" s="3" t="n">
        <v>136</v>
      </c>
      <c r="V108" s="3" t="n">
        <v>9904</v>
      </c>
      <c r="W108" s="2" t="inlineStr">
        <is>
          <t>Email list fatigue evident, segment optimization recommended.</t>
        </is>
      </c>
    </row>
    <row r="109">
      <c r="A109" s="4" t="inlineStr">
        <is>
          <t>2024-04-17</t>
        </is>
      </c>
      <c r="B109" s="4" t="inlineStr">
        <is>
          <t>Wednesday</t>
        </is>
      </c>
      <c r="C109" s="4" t="n">
        <v>16</v>
      </c>
      <c r="D109" s="4" t="n">
        <v>4</v>
      </c>
      <c r="E109" s="4" t="n">
        <v>2</v>
      </c>
      <c r="F109" s="4" t="inlineStr">
        <is>
          <t>Spring</t>
        </is>
      </c>
      <c r="G109" s="4" t="inlineStr">
        <is>
          <t>Optimization</t>
        </is>
      </c>
      <c r="H109" s="5">
        <f>1888.33</f>
        <v/>
      </c>
      <c r="I109" s="5" t="n">
        <v>23089</v>
      </c>
      <c r="J109" s="5" t="n">
        <v>710</v>
      </c>
      <c r="K109" s="5">
        <f>ROUND(C109/I109*100,2)</f>
        <v/>
      </c>
      <c r="L109" s="5" t="n">
        <v>70</v>
      </c>
      <c r="M109" s="5" t="n">
        <v>35</v>
      </c>
      <c r="N109" s="5" t="n">
        <v>105</v>
      </c>
      <c r="O109" s="5">
        <f>ROUND(N109/J109*100,2)</f>
        <v/>
      </c>
      <c r="P109" s="5">
        <f>6613.98</f>
        <v/>
      </c>
      <c r="Q109" s="5">
        <f>ROUND(P109/H109,2)</f>
        <v/>
      </c>
      <c r="R109" s="5">
        <f>IF(K109&gt;0,ROUND(H109/K109,2),999)</f>
        <v/>
      </c>
      <c r="S109" s="5" t="inlineStr">
        <is>
          <t>Pantry</t>
        </is>
      </c>
      <c r="T109" s="5" t="n">
        <v>403</v>
      </c>
      <c r="U109" s="5" t="n">
        <v>92</v>
      </c>
      <c r="V109" s="5" t="n">
        <v>3347</v>
      </c>
      <c r="W109" s="4" t="inlineStr">
        <is>
          <t>Weekend dip in conversions, organic traffic remains steady.</t>
        </is>
      </c>
    </row>
    <row r="110">
      <c r="A110" s="2" t="inlineStr">
        <is>
          <t>2024-04-18</t>
        </is>
      </c>
      <c r="B110" s="2" t="inlineStr">
        <is>
          <t>Thursday</t>
        </is>
      </c>
      <c r="C110" s="2" t="n">
        <v>16</v>
      </c>
      <c r="D110" s="2" t="n">
        <v>4</v>
      </c>
      <c r="E110" s="2" t="n">
        <v>2</v>
      </c>
      <c r="F110" s="2" t="inlineStr">
        <is>
          <t>Spring</t>
        </is>
      </c>
      <c r="G110" s="2" t="inlineStr">
        <is>
          <t>Optimization</t>
        </is>
      </c>
      <c r="H110" s="3">
        <f>1574.64</f>
        <v/>
      </c>
      <c r="I110" s="3" t="n">
        <v>17351</v>
      </c>
      <c r="J110" s="3" t="n">
        <v>1104</v>
      </c>
      <c r="K110" s="3">
        <f>ROUND(C110/I110*100,2)</f>
        <v/>
      </c>
      <c r="L110" s="3" t="n">
        <v>106</v>
      </c>
      <c r="M110" s="3" t="n">
        <v>59</v>
      </c>
      <c r="N110" s="3" t="n">
        <v>165</v>
      </c>
      <c r="O110" s="3">
        <f>ROUND(N110/J110*100,2)</f>
        <v/>
      </c>
      <c r="P110" s="3">
        <f>10509.81</f>
        <v/>
      </c>
      <c r="Q110" s="3">
        <f>ROUND(P110/H110,2)</f>
        <v/>
      </c>
      <c r="R110" s="3">
        <f>IF(K110&gt;0,ROUND(H110/K110,2),999)</f>
        <v/>
      </c>
      <c r="S110" s="3" t="inlineStr">
        <is>
          <t>Snack Box</t>
        </is>
      </c>
      <c r="T110" s="3" t="n">
        <v>519</v>
      </c>
      <c r="U110" s="3" t="n">
        <v>113</v>
      </c>
      <c r="V110" s="3" t="n">
        <v>2649</v>
      </c>
      <c r="W110" s="2" t="inlineStr">
        <is>
          <t>Seasonal surge in health-conscious persona segments.</t>
        </is>
      </c>
    </row>
    <row r="111">
      <c r="A111" s="4" t="inlineStr">
        <is>
          <t>2024-04-19</t>
        </is>
      </c>
      <c r="B111" s="4" t="inlineStr">
        <is>
          <t>Friday</t>
        </is>
      </c>
      <c r="C111" s="4" t="n">
        <v>16</v>
      </c>
      <c r="D111" s="4" t="n">
        <v>4</v>
      </c>
      <c r="E111" s="4" t="n">
        <v>2</v>
      </c>
      <c r="F111" s="4" t="inlineStr">
        <is>
          <t>Spring</t>
        </is>
      </c>
      <c r="G111" s="4" t="inlineStr">
        <is>
          <t>Optimization</t>
        </is>
      </c>
      <c r="H111" s="5">
        <f>1624.96</f>
        <v/>
      </c>
      <c r="I111" s="5" t="n">
        <v>22422</v>
      </c>
      <c r="J111" s="5" t="n">
        <v>1139</v>
      </c>
      <c r="K111" s="5">
        <f>ROUND(C111/I111*100,2)</f>
        <v/>
      </c>
      <c r="L111" s="5" t="n">
        <v>128</v>
      </c>
      <c r="M111" s="5" t="n">
        <v>31</v>
      </c>
      <c r="N111" s="5" t="n">
        <v>159</v>
      </c>
      <c r="O111" s="5">
        <f>ROUND(N111/J111*100,2)</f>
        <v/>
      </c>
      <c r="P111" s="5">
        <f>9211.58</f>
        <v/>
      </c>
      <c r="Q111" s="5">
        <f>ROUND(P111/H111,2)</f>
        <v/>
      </c>
      <c r="R111" s="5">
        <f>IF(K111&gt;0,ROUND(H111/K111,2),999)</f>
        <v/>
      </c>
      <c r="S111" s="5" t="inlineStr">
        <is>
          <t>Meal Kit</t>
        </is>
      </c>
      <c r="T111" s="5" t="n">
        <v>471</v>
      </c>
      <c r="U111" s="5" t="n">
        <v>61</v>
      </c>
      <c r="V111" s="5" t="n">
        <v>4609</v>
      </c>
      <c r="W111" s="4" t="inlineStr">
        <is>
          <t>Weather-dependent category performance noted.</t>
        </is>
      </c>
    </row>
    <row r="112">
      <c r="A112" s="2" t="inlineStr">
        <is>
          <t>2024-04-20</t>
        </is>
      </c>
      <c r="B112" s="2" t="inlineStr">
        <is>
          <t>Saturday</t>
        </is>
      </c>
      <c r="C112" s="2" t="n">
        <v>16</v>
      </c>
      <c r="D112" s="2" t="n">
        <v>4</v>
      </c>
      <c r="E112" s="2" t="n">
        <v>2</v>
      </c>
      <c r="F112" s="2" t="inlineStr">
        <is>
          <t>Spring</t>
        </is>
      </c>
      <c r="G112" s="2" t="inlineStr">
        <is>
          <t>Optimization</t>
        </is>
      </c>
      <c r="H112" s="3">
        <f>1014.28</f>
        <v/>
      </c>
      <c r="I112" s="3" t="n">
        <v>14624</v>
      </c>
      <c r="J112" s="3" t="n">
        <v>693</v>
      </c>
      <c r="K112" s="3">
        <f>ROUND(C112/I112*100,2)</f>
        <v/>
      </c>
      <c r="L112" s="3" t="n">
        <v>61</v>
      </c>
      <c r="M112" s="3" t="n">
        <v>26</v>
      </c>
      <c r="N112" s="3" t="n">
        <v>87</v>
      </c>
      <c r="O112" s="3">
        <f>ROUND(N112/J112*100,2)</f>
        <v/>
      </c>
      <c r="P112" s="3">
        <f>4909.08</f>
        <v/>
      </c>
      <c r="Q112" s="3">
        <f>ROUND(P112/H112,2)</f>
        <v/>
      </c>
      <c r="R112" s="3">
        <f>IF(K112&gt;0,ROUND(H112/K112,2),999)</f>
        <v/>
      </c>
      <c r="S112" s="3" t="inlineStr">
        <is>
          <t>Pantry</t>
        </is>
      </c>
      <c r="T112" s="3" t="n">
        <v>356</v>
      </c>
      <c r="U112" s="3" t="n">
        <v>156</v>
      </c>
      <c r="V112" s="3" t="n">
        <v>4864</v>
      </c>
      <c r="W112" s="2" t="inlineStr">
        <is>
          <t>High-intent keyword performance exceeding benchmarks.</t>
        </is>
      </c>
    </row>
    <row r="113">
      <c r="A113" s="4" t="inlineStr">
        <is>
          <t>2024-04-21</t>
        </is>
      </c>
      <c r="B113" s="4" t="inlineStr">
        <is>
          <t>Sunday</t>
        </is>
      </c>
      <c r="C113" s="4" t="n">
        <v>16</v>
      </c>
      <c r="D113" s="4" t="n">
        <v>4</v>
      </c>
      <c r="E113" s="4" t="n">
        <v>2</v>
      </c>
      <c r="F113" s="4" t="inlineStr">
        <is>
          <t>Spring</t>
        </is>
      </c>
      <c r="G113" s="4" t="inlineStr">
        <is>
          <t>Optimization</t>
        </is>
      </c>
      <c r="H113" s="5">
        <f>1000.57</f>
        <v/>
      </c>
      <c r="I113" s="5" t="n">
        <v>11992</v>
      </c>
      <c r="J113" s="5" t="n">
        <v>259</v>
      </c>
      <c r="K113" s="5">
        <f>ROUND(C113/I113*100,2)</f>
        <v/>
      </c>
      <c r="L113" s="5" t="n">
        <v>28</v>
      </c>
      <c r="M113" s="5" t="n">
        <v>14</v>
      </c>
      <c r="N113" s="5" t="n">
        <v>42</v>
      </c>
      <c r="O113" s="5">
        <f>ROUND(N113/J113*100,2)</f>
        <v/>
      </c>
      <c r="P113" s="5">
        <f>2663.98</f>
        <v/>
      </c>
      <c r="Q113" s="5">
        <f>ROUND(P113/H113,2)</f>
        <v/>
      </c>
      <c r="R113" s="5">
        <f>IF(K113&gt;0,ROUND(H113/K113,2),999)</f>
        <v/>
      </c>
      <c r="S113" s="5" t="inlineStr">
        <is>
          <t>Meal Kit</t>
        </is>
      </c>
      <c r="T113" s="5" t="n">
        <v>119</v>
      </c>
      <c r="U113" s="5" t="n">
        <v>39</v>
      </c>
      <c r="V113" s="5" t="n">
        <v>3135</v>
      </c>
      <c r="W113" s="4" t="inlineStr">
        <is>
          <t>New customer acquisition cost declining with better audience targeting.</t>
        </is>
      </c>
    </row>
    <row r="114">
      <c r="A114" s="2" t="inlineStr">
        <is>
          <t>2024-04-22</t>
        </is>
      </c>
      <c r="B114" s="2" t="inlineStr">
        <is>
          <t>Monday</t>
        </is>
      </c>
      <c r="C114" s="2" t="n">
        <v>17</v>
      </c>
      <c r="D114" s="2" t="n">
        <v>4</v>
      </c>
      <c r="E114" s="2" t="n">
        <v>2</v>
      </c>
      <c r="F114" s="2" t="inlineStr">
        <is>
          <t>Spring</t>
        </is>
      </c>
      <c r="G114" s="2" t="inlineStr">
        <is>
          <t>Optimization</t>
        </is>
      </c>
      <c r="H114" s="3">
        <f>1517.08</f>
        <v/>
      </c>
      <c r="I114" s="3" t="n">
        <v>16500</v>
      </c>
      <c r="J114" s="3" t="n">
        <v>1252</v>
      </c>
      <c r="K114" s="3">
        <f>ROUND(C114/I114*100,2)</f>
        <v/>
      </c>
      <c r="L114" s="3" t="n">
        <v>132</v>
      </c>
      <c r="M114" s="3" t="n">
        <v>58</v>
      </c>
      <c r="N114" s="3" t="n">
        <v>190</v>
      </c>
      <c r="O114" s="3">
        <f>ROUND(N114/J114*100,2)</f>
        <v/>
      </c>
      <c r="P114" s="3">
        <f>11915.93</f>
        <v/>
      </c>
      <c r="Q114" s="3">
        <f>ROUND(P114/H114,2)</f>
        <v/>
      </c>
      <c r="R114" s="3">
        <f>IF(K114&gt;0,ROUND(H114/K114,2),999)</f>
        <v/>
      </c>
      <c r="S114" s="3" t="inlineStr">
        <is>
          <t>Snack Box</t>
        </is>
      </c>
      <c r="T114" s="3" t="n">
        <v>463</v>
      </c>
      <c r="U114" s="3" t="n">
        <v>184</v>
      </c>
      <c r="V114" s="3" t="n">
        <v>2744</v>
      </c>
      <c r="W114" s="2" t="inlineStr">
        <is>
          <t>Test of lifestyle content format underperforming, discontinued.</t>
        </is>
      </c>
    </row>
    <row r="115">
      <c r="A115" s="4" t="inlineStr">
        <is>
          <t>2024-04-23</t>
        </is>
      </c>
      <c r="B115" s="4" t="inlineStr">
        <is>
          <t>Tuesday</t>
        </is>
      </c>
      <c r="C115" s="4" t="n">
        <v>17</v>
      </c>
      <c r="D115" s="4" t="n">
        <v>4</v>
      </c>
      <c r="E115" s="4" t="n">
        <v>2</v>
      </c>
      <c r="F115" s="4" t="inlineStr">
        <is>
          <t>Spring</t>
        </is>
      </c>
      <c r="G115" s="4" t="inlineStr">
        <is>
          <t>Optimization</t>
        </is>
      </c>
      <c r="H115" s="5">
        <f>1818.53</f>
        <v/>
      </c>
      <c r="I115" s="5" t="n">
        <v>17421</v>
      </c>
      <c r="J115" s="5" t="n">
        <v>982</v>
      </c>
      <c r="K115" s="5">
        <f>ROUND(C115/I115*100,2)</f>
        <v/>
      </c>
      <c r="L115" s="5" t="n">
        <v>94</v>
      </c>
      <c r="M115" s="5" t="n">
        <v>21</v>
      </c>
      <c r="N115" s="5" t="n">
        <v>115</v>
      </c>
      <c r="O115" s="5">
        <f>ROUND(N115/J115*100,2)</f>
        <v/>
      </c>
      <c r="P115" s="5">
        <f>5424.31</f>
        <v/>
      </c>
      <c r="Q115" s="5">
        <f>ROUND(P115/H115,2)</f>
        <v/>
      </c>
      <c r="R115" s="5">
        <f>IF(K115&gt;0,ROUND(H115/K115,2),999)</f>
        <v/>
      </c>
      <c r="S115" s="5" t="inlineStr">
        <is>
          <t>Meal Kit</t>
        </is>
      </c>
      <c r="T115" s="5" t="n">
        <v>717</v>
      </c>
      <c r="U115" s="5" t="n">
        <v>186</v>
      </c>
      <c r="V115" s="5" t="n">
        <v>3972</v>
      </c>
      <c r="W115" s="4" t="inlineStr">
        <is>
          <t>Bundle promotion resonating with families segment.</t>
        </is>
      </c>
    </row>
    <row r="116">
      <c r="A116" s="2" t="inlineStr">
        <is>
          <t>2024-04-24</t>
        </is>
      </c>
      <c r="B116" s="2" t="inlineStr">
        <is>
          <t>Wednesday</t>
        </is>
      </c>
      <c r="C116" s="2" t="n">
        <v>17</v>
      </c>
      <c r="D116" s="2" t="n">
        <v>4</v>
      </c>
      <c r="E116" s="2" t="n">
        <v>2</v>
      </c>
      <c r="F116" s="2" t="inlineStr">
        <is>
          <t>Spring</t>
        </is>
      </c>
      <c r="G116" s="2" t="inlineStr">
        <is>
          <t>Optimization</t>
        </is>
      </c>
      <c r="H116" s="3">
        <f>1566.95</f>
        <v/>
      </c>
      <c r="I116" s="3" t="n">
        <v>22504</v>
      </c>
      <c r="J116" s="3" t="n">
        <v>790</v>
      </c>
      <c r="K116" s="3">
        <f>ROUND(C116/I116*100,2)</f>
        <v/>
      </c>
      <c r="L116" s="3" t="n">
        <v>80</v>
      </c>
      <c r="M116" s="3" t="n">
        <v>43</v>
      </c>
      <c r="N116" s="3" t="n">
        <v>123</v>
      </c>
      <c r="O116" s="3">
        <f>ROUND(N116/J116*100,2)</f>
        <v/>
      </c>
      <c r="P116" s="3">
        <f>7032.80</f>
        <v/>
      </c>
      <c r="Q116" s="3">
        <f>ROUND(P116/H116,2)</f>
        <v/>
      </c>
      <c r="R116" s="3">
        <f>IF(K116&gt;0,ROUND(H116/K116,2),999)</f>
        <v/>
      </c>
      <c r="S116" s="3" t="inlineStr">
        <is>
          <t>Pantry</t>
        </is>
      </c>
      <c r="T116" s="3" t="n">
        <v>281</v>
      </c>
      <c r="U116" s="3" t="n">
        <v>176</v>
      </c>
      <c r="V116" s="3" t="n">
        <v>8575</v>
      </c>
      <c r="W116" s="2" t="inlineStr">
        <is>
          <t>New customer acquisition cost declining with better audience targeting.</t>
        </is>
      </c>
    </row>
    <row r="117">
      <c r="A117" s="4" t="inlineStr">
        <is>
          <t>2024-04-25</t>
        </is>
      </c>
      <c r="B117" s="4" t="inlineStr">
        <is>
          <t>Thursday</t>
        </is>
      </c>
      <c r="C117" s="4" t="n">
        <v>17</v>
      </c>
      <c r="D117" s="4" t="n">
        <v>4</v>
      </c>
      <c r="E117" s="4" t="n">
        <v>2</v>
      </c>
      <c r="F117" s="4" t="inlineStr">
        <is>
          <t>Spring</t>
        </is>
      </c>
      <c r="G117" s="4" t="inlineStr">
        <is>
          <t>Optimization</t>
        </is>
      </c>
      <c r="H117" s="5">
        <f>1719.85</f>
        <v/>
      </c>
      <c r="I117" s="5" t="n">
        <v>20092</v>
      </c>
      <c r="J117" s="5" t="n">
        <v>603</v>
      </c>
      <c r="K117" s="5">
        <f>ROUND(C117/I117*100,2)</f>
        <v/>
      </c>
      <c r="L117" s="5" t="n">
        <v>40</v>
      </c>
      <c r="M117" s="5" t="n">
        <v>26</v>
      </c>
      <c r="N117" s="5" t="n">
        <v>66</v>
      </c>
      <c r="O117" s="5">
        <f>ROUND(N117/J117*100,2)</f>
        <v/>
      </c>
      <c r="P117" s="5">
        <f>3017.63</f>
        <v/>
      </c>
      <c r="Q117" s="5">
        <f>ROUND(P117/H117,2)</f>
        <v/>
      </c>
      <c r="R117" s="5">
        <f>IF(K117&gt;0,ROUND(H117/K117,2),999)</f>
        <v/>
      </c>
      <c r="S117" s="5" t="inlineStr">
        <is>
          <t>Pantry</t>
        </is>
      </c>
      <c r="T117" s="5" t="n">
        <v>361</v>
      </c>
      <c r="U117" s="5" t="n">
        <v>54</v>
      </c>
      <c r="V117" s="5" t="n">
        <v>2224</v>
      </c>
      <c r="W117" s="4" t="inlineStr">
        <is>
          <t>Mobile conversion rate optimization showing 12% improvement.</t>
        </is>
      </c>
    </row>
    <row r="118">
      <c r="A118" s="2" t="inlineStr">
        <is>
          <t>2024-04-26</t>
        </is>
      </c>
      <c r="B118" s="2" t="inlineStr">
        <is>
          <t>Friday</t>
        </is>
      </c>
      <c r="C118" s="2" t="n">
        <v>17</v>
      </c>
      <c r="D118" s="2" t="n">
        <v>4</v>
      </c>
      <c r="E118" s="2" t="n">
        <v>2</v>
      </c>
      <c r="F118" s="2" t="inlineStr">
        <is>
          <t>Spring</t>
        </is>
      </c>
      <c r="G118" s="2" t="inlineStr">
        <is>
          <t>Optimization</t>
        </is>
      </c>
      <c r="H118" s="3">
        <f>1579.62</f>
        <v/>
      </c>
      <c r="I118" s="3" t="n">
        <v>16168</v>
      </c>
      <c r="J118" s="3" t="n">
        <v>1161</v>
      </c>
      <c r="K118" s="3">
        <f>ROUND(C118/I118*100,2)</f>
        <v/>
      </c>
      <c r="L118" s="3" t="n">
        <v>137</v>
      </c>
      <c r="M118" s="3" t="n">
        <v>43</v>
      </c>
      <c r="N118" s="3" t="n">
        <v>180</v>
      </c>
      <c r="O118" s="3">
        <f>ROUND(N118/J118*100,2)</f>
        <v/>
      </c>
      <c r="P118" s="3">
        <f>8595.70</f>
        <v/>
      </c>
      <c r="Q118" s="3">
        <f>ROUND(P118/H118,2)</f>
        <v/>
      </c>
      <c r="R118" s="3">
        <f>IF(K118&gt;0,ROUND(H118/K118,2),999)</f>
        <v/>
      </c>
      <c r="S118" s="3" t="inlineStr">
        <is>
          <t>Meal Kit</t>
        </is>
      </c>
      <c r="T118" s="3" t="n">
        <v>575</v>
      </c>
      <c r="U118" s="3" t="n">
        <v>84</v>
      </c>
      <c r="V118" s="3" t="n">
        <v>4442</v>
      </c>
      <c r="W118" s="2" t="inlineStr">
        <is>
          <t>Competitor promotion detected, reduced CPA achieved through optimization.</t>
        </is>
      </c>
    </row>
    <row r="119">
      <c r="A119" s="4" t="inlineStr">
        <is>
          <t>2024-04-27</t>
        </is>
      </c>
      <c r="B119" s="4" t="inlineStr">
        <is>
          <t>Saturday</t>
        </is>
      </c>
      <c r="C119" s="4" t="n">
        <v>17</v>
      </c>
      <c r="D119" s="4" t="n">
        <v>4</v>
      </c>
      <c r="E119" s="4" t="n">
        <v>2</v>
      </c>
      <c r="F119" s="4" t="inlineStr">
        <is>
          <t>Spring</t>
        </is>
      </c>
      <c r="G119" s="4" t="inlineStr">
        <is>
          <t>Optimization</t>
        </is>
      </c>
      <c r="H119" s="5">
        <f>1068.06</f>
        <v/>
      </c>
      <c r="I119" s="5" t="n">
        <v>8562</v>
      </c>
      <c r="J119" s="5" t="n">
        <v>650</v>
      </c>
      <c r="K119" s="5">
        <f>ROUND(C119/I119*100,2)</f>
        <v/>
      </c>
      <c r="L119" s="5" t="n">
        <v>77</v>
      </c>
      <c r="M119" s="5" t="n">
        <v>17</v>
      </c>
      <c r="N119" s="5" t="n">
        <v>94</v>
      </c>
      <c r="O119" s="5">
        <f>ROUND(N119/J119*100,2)</f>
        <v/>
      </c>
      <c r="P119" s="5">
        <f>5224.08</f>
        <v/>
      </c>
      <c r="Q119" s="5">
        <f>ROUND(P119/H119,2)</f>
        <v/>
      </c>
      <c r="R119" s="5">
        <f>IF(K119&gt;0,ROUND(H119/K119,2),999)</f>
        <v/>
      </c>
      <c r="S119" s="5" t="inlineStr">
        <is>
          <t>Pantry</t>
        </is>
      </c>
      <c r="T119" s="5" t="n">
        <v>472</v>
      </c>
      <c r="U119" s="5" t="n">
        <v>58</v>
      </c>
      <c r="V119" s="5" t="n">
        <v>3322</v>
      </c>
      <c r="W119" s="4" t="inlineStr">
        <is>
          <t>Tuesday peak for email nurture campaigns.</t>
        </is>
      </c>
    </row>
    <row r="120">
      <c r="A120" s="2" t="inlineStr">
        <is>
          <t>2024-04-28</t>
        </is>
      </c>
      <c r="B120" s="2" t="inlineStr">
        <is>
          <t>Sunday</t>
        </is>
      </c>
      <c r="C120" s="2" t="n">
        <v>17</v>
      </c>
      <c r="D120" s="2" t="n">
        <v>4</v>
      </c>
      <c r="E120" s="2" t="n">
        <v>2</v>
      </c>
      <c r="F120" s="2" t="inlineStr">
        <is>
          <t>Spring</t>
        </is>
      </c>
      <c r="G120" s="2" t="inlineStr">
        <is>
          <t>Optimization</t>
        </is>
      </c>
      <c r="H120" s="3">
        <f>1294.71</f>
        <v/>
      </c>
      <c r="I120" s="3" t="n">
        <v>15678</v>
      </c>
      <c r="J120" s="3" t="n">
        <v>907</v>
      </c>
      <c r="K120" s="3">
        <f>ROUND(C120/I120*100,2)</f>
        <v/>
      </c>
      <c r="L120" s="3" t="n">
        <v>68</v>
      </c>
      <c r="M120" s="3" t="n">
        <v>46</v>
      </c>
      <c r="N120" s="3" t="n">
        <v>114</v>
      </c>
      <c r="O120" s="3">
        <f>ROUND(N120/J120*100,2)</f>
        <v/>
      </c>
      <c r="P120" s="3">
        <f>7210.34</f>
        <v/>
      </c>
      <c r="Q120" s="3">
        <f>ROUND(P120/H120,2)</f>
        <v/>
      </c>
      <c r="R120" s="3">
        <f>IF(K120&gt;0,ROUND(H120/K120,2),999)</f>
        <v/>
      </c>
      <c r="S120" s="3" t="inlineStr">
        <is>
          <t>Snack Box</t>
        </is>
      </c>
      <c r="T120" s="3" t="n">
        <v>511</v>
      </c>
      <c r="U120" s="3" t="n">
        <v>196</v>
      </c>
      <c r="V120" s="3" t="n">
        <v>5402</v>
      </c>
      <c r="W120" s="2" t="inlineStr">
        <is>
          <t>Weekend dip in conversions, organic traffic remains steady.</t>
        </is>
      </c>
    </row>
    <row r="121">
      <c r="A121" s="4" t="inlineStr">
        <is>
          <t>2024-04-29</t>
        </is>
      </c>
      <c r="B121" s="4" t="inlineStr">
        <is>
          <t>Monday</t>
        </is>
      </c>
      <c r="C121" s="4" t="n">
        <v>18</v>
      </c>
      <c r="D121" s="4" t="n">
        <v>4</v>
      </c>
      <c r="E121" s="4" t="n">
        <v>2</v>
      </c>
      <c r="F121" s="4" t="inlineStr">
        <is>
          <t>Spring</t>
        </is>
      </c>
      <c r="G121" s="4" t="inlineStr">
        <is>
          <t>Optimization</t>
        </is>
      </c>
      <c r="H121" s="5">
        <f>1683.11</f>
        <v/>
      </c>
      <c r="I121" s="5" t="n">
        <v>17991</v>
      </c>
      <c r="J121" s="5" t="n">
        <v>687</v>
      </c>
      <c r="K121" s="5">
        <f>ROUND(C121/I121*100,2)</f>
        <v/>
      </c>
      <c r="L121" s="5" t="n">
        <v>75</v>
      </c>
      <c r="M121" s="5" t="n">
        <v>37</v>
      </c>
      <c r="N121" s="5" t="n">
        <v>112</v>
      </c>
      <c r="O121" s="5">
        <f>ROUND(N121/J121*100,2)</f>
        <v/>
      </c>
      <c r="P121" s="5">
        <f>7114.98</f>
        <v/>
      </c>
      <c r="Q121" s="5">
        <f>ROUND(P121/H121,2)</f>
        <v/>
      </c>
      <c r="R121" s="5">
        <f>IF(K121&gt;0,ROUND(H121/K121,2),999)</f>
        <v/>
      </c>
      <c r="S121" s="5" t="inlineStr">
        <is>
          <t>Pantry</t>
        </is>
      </c>
      <c r="T121" s="5" t="n">
        <v>287</v>
      </c>
      <c r="U121" s="5" t="n">
        <v>102</v>
      </c>
      <c r="V121" s="5" t="n">
        <v>6595</v>
      </c>
      <c r="W121" s="4" t="inlineStr">
        <is>
          <t>Meta lookalike audience expansion successful.</t>
        </is>
      </c>
    </row>
    <row r="122">
      <c r="A122" s="2" t="inlineStr">
        <is>
          <t>2024-04-30</t>
        </is>
      </c>
      <c r="B122" s="2" t="inlineStr">
        <is>
          <t>Tuesday</t>
        </is>
      </c>
      <c r="C122" s="2" t="n">
        <v>18</v>
      </c>
      <c r="D122" s="2" t="n">
        <v>4</v>
      </c>
      <c r="E122" s="2" t="n">
        <v>2</v>
      </c>
      <c r="F122" s="2" t="inlineStr">
        <is>
          <t>Spring</t>
        </is>
      </c>
      <c r="G122" s="2" t="inlineStr">
        <is>
          <t>Optimization</t>
        </is>
      </c>
      <c r="H122" s="3">
        <f>1577.78</f>
        <v/>
      </c>
      <c r="I122" s="3" t="n">
        <v>19900</v>
      </c>
      <c r="J122" s="3" t="n">
        <v>830</v>
      </c>
      <c r="K122" s="3">
        <f>ROUND(C122/I122*100,2)</f>
        <v/>
      </c>
      <c r="L122" s="3" t="n">
        <v>98</v>
      </c>
      <c r="M122" s="3" t="n">
        <v>47</v>
      </c>
      <c r="N122" s="3" t="n">
        <v>145</v>
      </c>
      <c r="O122" s="3">
        <f>ROUND(N122/J122*100,2)</f>
        <v/>
      </c>
      <c r="P122" s="3">
        <f>9085.88</f>
        <v/>
      </c>
      <c r="Q122" s="3">
        <f>ROUND(P122/H122,2)</f>
        <v/>
      </c>
      <c r="R122" s="3">
        <f>IF(K122&gt;0,ROUND(H122/K122,2),999)</f>
        <v/>
      </c>
      <c r="S122" s="3" t="inlineStr">
        <is>
          <t>Snack Box</t>
        </is>
      </c>
      <c r="T122" s="3" t="n">
        <v>428</v>
      </c>
      <c r="U122" s="3" t="n">
        <v>94</v>
      </c>
      <c r="V122" s="3" t="n">
        <v>6000</v>
      </c>
      <c r="W122" s="2" t="inlineStr">
        <is>
          <t>Competitor promotion detected, reduced CPA achieved through optimization.</t>
        </is>
      </c>
    </row>
    <row r="123">
      <c r="A123" s="4" t="inlineStr">
        <is>
          <t>2024-05-01</t>
        </is>
      </c>
      <c r="B123" s="4" t="inlineStr">
        <is>
          <t>Wednesday</t>
        </is>
      </c>
      <c r="C123" s="4" t="n">
        <v>18</v>
      </c>
      <c r="D123" s="4" t="n">
        <v>5</v>
      </c>
      <c r="E123" s="4" t="n">
        <v>2</v>
      </c>
      <c r="F123" s="4" t="inlineStr">
        <is>
          <t>Spring</t>
        </is>
      </c>
      <c r="G123" s="4" t="inlineStr">
        <is>
          <t>Optimization</t>
        </is>
      </c>
      <c r="H123" s="5">
        <f>1850.89</f>
        <v/>
      </c>
      <c r="I123" s="5" t="n">
        <v>18773</v>
      </c>
      <c r="J123" s="5" t="n">
        <v>825</v>
      </c>
      <c r="K123" s="5">
        <f>ROUND(C123/I123*100,2)</f>
        <v/>
      </c>
      <c r="L123" s="5" t="n">
        <v>49</v>
      </c>
      <c r="M123" s="5" t="n">
        <v>37</v>
      </c>
      <c r="N123" s="5" t="n">
        <v>86</v>
      </c>
      <c r="O123" s="5">
        <f>ROUND(N123/J123*100,2)</f>
        <v/>
      </c>
      <c r="P123" s="5">
        <f>5292.73</f>
        <v/>
      </c>
      <c r="Q123" s="5">
        <f>ROUND(P123/H123,2)</f>
        <v/>
      </c>
      <c r="R123" s="5">
        <f>IF(K123&gt;0,ROUND(H123/K123,2),999)</f>
        <v/>
      </c>
      <c r="S123" s="5" t="inlineStr">
        <is>
          <t>Snack Box</t>
        </is>
      </c>
      <c r="T123" s="5" t="n">
        <v>428</v>
      </c>
      <c r="U123" s="5" t="n">
        <v>43</v>
      </c>
      <c r="V123" s="5" t="n">
        <v>5457</v>
      </c>
      <c r="W123" s="4" t="inlineStr">
        <is>
          <t>New TikTok creative launched, high initial impression share.</t>
        </is>
      </c>
    </row>
    <row r="124">
      <c r="A124" s="2" t="inlineStr">
        <is>
          <t>2024-05-02</t>
        </is>
      </c>
      <c r="B124" s="2" t="inlineStr">
        <is>
          <t>Thursday</t>
        </is>
      </c>
      <c r="C124" s="2" t="n">
        <v>18</v>
      </c>
      <c r="D124" s="2" t="n">
        <v>5</v>
      </c>
      <c r="E124" s="2" t="n">
        <v>2</v>
      </c>
      <c r="F124" s="2" t="inlineStr">
        <is>
          <t>Spring</t>
        </is>
      </c>
      <c r="G124" s="2" t="inlineStr">
        <is>
          <t>Optimization</t>
        </is>
      </c>
      <c r="H124" s="3">
        <f>1552.74</f>
        <v/>
      </c>
      <c r="I124" s="3" t="n">
        <v>12730</v>
      </c>
      <c r="J124" s="3" t="n">
        <v>329</v>
      </c>
      <c r="K124" s="3">
        <f>ROUND(C124/I124*100,2)</f>
        <v/>
      </c>
      <c r="L124" s="3" t="n">
        <v>19</v>
      </c>
      <c r="M124" s="3" t="n">
        <v>19</v>
      </c>
      <c r="N124" s="3" t="n">
        <v>38</v>
      </c>
      <c r="O124" s="3">
        <f>ROUND(N124/J124*100,2)</f>
        <v/>
      </c>
      <c r="P124" s="3">
        <f>2044.28</f>
        <v/>
      </c>
      <c r="Q124" s="3">
        <f>ROUND(P124/H124,2)</f>
        <v/>
      </c>
      <c r="R124" s="3">
        <f>IF(K124&gt;0,ROUND(H124/K124,2),999)</f>
        <v/>
      </c>
      <c r="S124" s="3" t="inlineStr">
        <is>
          <t>Snack Box</t>
        </is>
      </c>
      <c r="T124" s="3" t="n">
        <v>163</v>
      </c>
      <c r="U124" s="3" t="n">
        <v>71</v>
      </c>
      <c r="V124" s="3" t="n">
        <v>3749</v>
      </c>
      <c r="W124" s="2" t="inlineStr">
        <is>
          <t>Strong Friday engagement, peak subscription signups.</t>
        </is>
      </c>
    </row>
    <row r="125">
      <c r="A125" s="4" t="inlineStr">
        <is>
          <t>2024-05-03</t>
        </is>
      </c>
      <c r="B125" s="4" t="inlineStr">
        <is>
          <t>Friday</t>
        </is>
      </c>
      <c r="C125" s="4" t="n">
        <v>18</v>
      </c>
      <c r="D125" s="4" t="n">
        <v>5</v>
      </c>
      <c r="E125" s="4" t="n">
        <v>2</v>
      </c>
      <c r="F125" s="4" t="inlineStr">
        <is>
          <t>Spring</t>
        </is>
      </c>
      <c r="G125" s="4" t="inlineStr">
        <is>
          <t>Optimization</t>
        </is>
      </c>
      <c r="H125" s="5">
        <f>1544.11</f>
        <v/>
      </c>
      <c r="I125" s="5" t="n">
        <v>15842</v>
      </c>
      <c r="J125" s="5" t="n">
        <v>1255</v>
      </c>
      <c r="K125" s="5">
        <f>ROUND(C125/I125*100,2)</f>
        <v/>
      </c>
      <c r="L125" s="5" t="n">
        <v>66</v>
      </c>
      <c r="M125" s="5" t="n">
        <v>36</v>
      </c>
      <c r="N125" s="5" t="n">
        <v>102</v>
      </c>
      <c r="O125" s="5">
        <f>ROUND(N125/J125*100,2)</f>
        <v/>
      </c>
      <c r="P125" s="5">
        <f>6079.20</f>
        <v/>
      </c>
      <c r="Q125" s="5">
        <f>ROUND(P125/H125,2)</f>
        <v/>
      </c>
      <c r="R125" s="5">
        <f>IF(K125&gt;0,ROUND(H125/K125,2),999)</f>
        <v/>
      </c>
      <c r="S125" s="5" t="inlineStr">
        <is>
          <t>Snack Box</t>
        </is>
      </c>
      <c r="T125" s="5" t="n">
        <v>492</v>
      </c>
      <c r="U125" s="5" t="n">
        <v>97</v>
      </c>
      <c r="V125" s="5" t="n">
        <v>3685</v>
      </c>
      <c r="W125" s="4" t="inlineStr">
        <is>
          <t>Retargeting campaign paused for fatigue analysis.</t>
        </is>
      </c>
    </row>
    <row r="126">
      <c r="A126" s="2" t="inlineStr">
        <is>
          <t>2024-05-04</t>
        </is>
      </c>
      <c r="B126" s="2" t="inlineStr">
        <is>
          <t>Saturday</t>
        </is>
      </c>
      <c r="C126" s="2" t="n">
        <v>18</v>
      </c>
      <c r="D126" s="2" t="n">
        <v>5</v>
      </c>
      <c r="E126" s="2" t="n">
        <v>2</v>
      </c>
      <c r="F126" s="2" t="inlineStr">
        <is>
          <t>Spring</t>
        </is>
      </c>
      <c r="G126" s="2" t="inlineStr">
        <is>
          <t>Optimization</t>
        </is>
      </c>
      <c r="H126" s="3">
        <f>1223.67</f>
        <v/>
      </c>
      <c r="I126" s="3" t="n">
        <v>17508</v>
      </c>
      <c r="J126" s="3" t="n">
        <v>580</v>
      </c>
      <c r="K126" s="3">
        <f>ROUND(C126/I126*100,2)</f>
        <v/>
      </c>
      <c r="L126" s="3" t="n">
        <v>55</v>
      </c>
      <c r="M126" s="3" t="n">
        <v>17</v>
      </c>
      <c r="N126" s="3" t="n">
        <v>72</v>
      </c>
      <c r="O126" s="3">
        <f>ROUND(N126/J126*100,2)</f>
        <v/>
      </c>
      <c r="P126" s="3">
        <f>3359.46</f>
        <v/>
      </c>
      <c r="Q126" s="3">
        <f>ROUND(P126/H126,2)</f>
        <v/>
      </c>
      <c r="R126" s="3">
        <f>IF(K126&gt;0,ROUND(H126/K126,2),999)</f>
        <v/>
      </c>
      <c r="S126" s="3" t="inlineStr">
        <is>
          <t>Snack Box</t>
        </is>
      </c>
      <c r="T126" s="3" t="n">
        <v>318</v>
      </c>
      <c r="U126" s="3" t="n">
        <v>136</v>
      </c>
      <c r="V126" s="3" t="n">
        <v>4743</v>
      </c>
      <c r="W126" s="2" t="inlineStr">
        <is>
          <t>Seasonal surge in health-conscious persona segments.</t>
        </is>
      </c>
    </row>
    <row r="127">
      <c r="A127" s="4" t="inlineStr">
        <is>
          <t>2024-05-05</t>
        </is>
      </c>
      <c r="B127" s="4" t="inlineStr">
        <is>
          <t>Sunday</t>
        </is>
      </c>
      <c r="C127" s="4" t="n">
        <v>18</v>
      </c>
      <c r="D127" s="4" t="n">
        <v>5</v>
      </c>
      <c r="E127" s="4" t="n">
        <v>2</v>
      </c>
      <c r="F127" s="4" t="inlineStr">
        <is>
          <t>Spring</t>
        </is>
      </c>
      <c r="G127" s="4" t="inlineStr">
        <is>
          <t>Optimization</t>
        </is>
      </c>
      <c r="H127" s="5">
        <f>1002.97</f>
        <v/>
      </c>
      <c r="I127" s="5" t="n">
        <v>9215</v>
      </c>
      <c r="J127" s="5" t="n">
        <v>540</v>
      </c>
      <c r="K127" s="5">
        <f>ROUND(C127/I127*100,2)</f>
        <v/>
      </c>
      <c r="L127" s="5" t="n">
        <v>60</v>
      </c>
      <c r="M127" s="5" t="n">
        <v>19</v>
      </c>
      <c r="N127" s="5" t="n">
        <v>79</v>
      </c>
      <c r="O127" s="5">
        <f>ROUND(N127/J127*100,2)</f>
        <v/>
      </c>
      <c r="P127" s="5">
        <f>4546.37</f>
        <v/>
      </c>
      <c r="Q127" s="5">
        <f>ROUND(P127/H127,2)</f>
        <v/>
      </c>
      <c r="R127" s="5">
        <f>IF(K127&gt;0,ROUND(H127/K127,2),999)</f>
        <v/>
      </c>
      <c r="S127" s="5" t="inlineStr">
        <is>
          <t>Snack Box</t>
        </is>
      </c>
      <c r="T127" s="5" t="n">
        <v>389</v>
      </c>
      <c r="U127" s="5" t="n">
        <v>66</v>
      </c>
      <c r="V127" s="5" t="n">
        <v>1168</v>
      </c>
      <c r="W127" s="4" t="inlineStr">
        <is>
          <t>Test of lifestyle content format underperforming, discontinued.</t>
        </is>
      </c>
    </row>
    <row r="128">
      <c r="A128" s="2" t="inlineStr">
        <is>
          <t>2024-05-06</t>
        </is>
      </c>
      <c r="B128" s="2" t="inlineStr">
        <is>
          <t>Monday</t>
        </is>
      </c>
      <c r="C128" s="2" t="n">
        <v>19</v>
      </c>
      <c r="D128" s="2" t="n">
        <v>5</v>
      </c>
      <c r="E128" s="2" t="n">
        <v>2</v>
      </c>
      <c r="F128" s="2" t="inlineStr">
        <is>
          <t>Spring</t>
        </is>
      </c>
      <c r="G128" s="2" t="inlineStr">
        <is>
          <t>Optimization</t>
        </is>
      </c>
      <c r="H128" s="3">
        <f>1532.66</f>
        <v/>
      </c>
      <c r="I128" s="3" t="n">
        <v>22975</v>
      </c>
      <c r="J128" s="3" t="n">
        <v>1508</v>
      </c>
      <c r="K128" s="3">
        <f>ROUND(C128/I128*100,2)</f>
        <v/>
      </c>
      <c r="L128" s="3" t="n">
        <v>101</v>
      </c>
      <c r="M128" s="3" t="n">
        <v>68</v>
      </c>
      <c r="N128" s="3" t="n">
        <v>169</v>
      </c>
      <c r="O128" s="3">
        <f>ROUND(N128/J128*100,2)</f>
        <v/>
      </c>
      <c r="P128" s="3">
        <f>8349.45</f>
        <v/>
      </c>
      <c r="Q128" s="3">
        <f>ROUND(P128/H128,2)</f>
        <v/>
      </c>
      <c r="R128" s="3">
        <f>IF(K128&gt;0,ROUND(H128/K128,2),999)</f>
        <v/>
      </c>
      <c r="S128" s="3" t="inlineStr">
        <is>
          <t>Pantry</t>
        </is>
      </c>
      <c r="T128" s="3" t="n">
        <v>1080</v>
      </c>
      <c r="U128" s="3" t="n">
        <v>334</v>
      </c>
      <c r="V128" s="3" t="n">
        <v>5324</v>
      </c>
      <c r="W128" s="2" t="inlineStr">
        <is>
          <t>Meta lookalike audience expansion successful.</t>
        </is>
      </c>
    </row>
    <row r="129">
      <c r="A129" s="4" t="inlineStr">
        <is>
          <t>2024-05-07</t>
        </is>
      </c>
      <c r="B129" s="4" t="inlineStr">
        <is>
          <t>Tuesday</t>
        </is>
      </c>
      <c r="C129" s="4" t="n">
        <v>19</v>
      </c>
      <c r="D129" s="4" t="n">
        <v>5</v>
      </c>
      <c r="E129" s="4" t="n">
        <v>2</v>
      </c>
      <c r="F129" s="4" t="inlineStr">
        <is>
          <t>Spring</t>
        </is>
      </c>
      <c r="G129" s="4" t="inlineStr">
        <is>
          <t>Optimization</t>
        </is>
      </c>
      <c r="H129" s="5">
        <f>1647.06</f>
        <v/>
      </c>
      <c r="I129" s="5" t="n">
        <v>20337</v>
      </c>
      <c r="J129" s="5" t="n">
        <v>668</v>
      </c>
      <c r="K129" s="5">
        <f>ROUND(C129/I129*100,2)</f>
        <v/>
      </c>
      <c r="L129" s="5" t="n">
        <v>68</v>
      </c>
      <c r="M129" s="5" t="n">
        <v>37</v>
      </c>
      <c r="N129" s="5" t="n">
        <v>105</v>
      </c>
      <c r="O129" s="5">
        <f>ROUND(N129/J129*100,2)</f>
        <v/>
      </c>
      <c r="P129" s="5">
        <f>5841.39</f>
        <v/>
      </c>
      <c r="Q129" s="5">
        <f>ROUND(P129/H129,2)</f>
        <v/>
      </c>
      <c r="R129" s="5">
        <f>IF(K129&gt;0,ROUND(H129/K129,2),999)</f>
        <v/>
      </c>
      <c r="S129" s="5" t="inlineStr">
        <is>
          <t>Meal Kit</t>
        </is>
      </c>
      <c r="T129" s="5" t="n">
        <v>384</v>
      </c>
      <c r="U129" s="5" t="n">
        <v>83</v>
      </c>
      <c r="V129" s="5" t="n">
        <v>5076</v>
      </c>
      <c r="W129" s="4" t="inlineStr">
        <is>
          <t>New customer acquisition cost declining with better audience targeting.</t>
        </is>
      </c>
    </row>
    <row r="130">
      <c r="A130" s="2" t="inlineStr">
        <is>
          <t>2024-05-08</t>
        </is>
      </c>
      <c r="B130" s="2" t="inlineStr">
        <is>
          <t>Wednesday</t>
        </is>
      </c>
      <c r="C130" s="2" t="n">
        <v>19</v>
      </c>
      <c r="D130" s="2" t="n">
        <v>5</v>
      </c>
      <c r="E130" s="2" t="n">
        <v>2</v>
      </c>
      <c r="F130" s="2" t="inlineStr">
        <is>
          <t>Spring</t>
        </is>
      </c>
      <c r="G130" s="2" t="inlineStr">
        <is>
          <t>Optimization</t>
        </is>
      </c>
      <c r="H130" s="3">
        <f>1895.52</f>
        <v/>
      </c>
      <c r="I130" s="3" t="n">
        <v>15827</v>
      </c>
      <c r="J130" s="3" t="n">
        <v>1180</v>
      </c>
      <c r="K130" s="3">
        <f>ROUND(C130/I130*100,2)</f>
        <v/>
      </c>
      <c r="L130" s="3" t="n">
        <v>118</v>
      </c>
      <c r="M130" s="3" t="n">
        <v>35</v>
      </c>
      <c r="N130" s="3" t="n">
        <v>153</v>
      </c>
      <c r="O130" s="3">
        <f>ROUND(N130/J130*100,2)</f>
        <v/>
      </c>
      <c r="P130" s="3">
        <f>7436.38</f>
        <v/>
      </c>
      <c r="Q130" s="3">
        <f>ROUND(P130/H130,2)</f>
        <v/>
      </c>
      <c r="R130" s="3">
        <f>IF(K130&gt;0,ROUND(H130/K130,2),999)</f>
        <v/>
      </c>
      <c r="S130" s="3" t="inlineStr">
        <is>
          <t>Pantry</t>
        </is>
      </c>
      <c r="T130" s="3" t="n">
        <v>517</v>
      </c>
      <c r="U130" s="3" t="n">
        <v>78</v>
      </c>
      <c r="V130" s="3" t="n">
        <v>2229</v>
      </c>
      <c r="W130" s="2" t="inlineStr">
        <is>
          <t>Mobile conversion rate optimization showing 12% improvement.</t>
        </is>
      </c>
    </row>
    <row r="131">
      <c r="A131" s="4" t="inlineStr">
        <is>
          <t>2024-05-09</t>
        </is>
      </c>
      <c r="B131" s="4" t="inlineStr">
        <is>
          <t>Thursday</t>
        </is>
      </c>
      <c r="C131" s="4" t="n">
        <v>19</v>
      </c>
      <c r="D131" s="4" t="n">
        <v>5</v>
      </c>
      <c r="E131" s="4" t="n">
        <v>2</v>
      </c>
      <c r="F131" s="4" t="inlineStr">
        <is>
          <t>Spring</t>
        </is>
      </c>
      <c r="G131" s="4" t="inlineStr">
        <is>
          <t>Optimization</t>
        </is>
      </c>
      <c r="H131" s="5">
        <f>1673.37</f>
        <v/>
      </c>
      <c r="I131" s="5" t="n">
        <v>17246</v>
      </c>
      <c r="J131" s="5" t="n">
        <v>1033</v>
      </c>
      <c r="K131" s="5">
        <f>ROUND(C131/I131*100,2)</f>
        <v/>
      </c>
      <c r="L131" s="5" t="n">
        <v>84</v>
      </c>
      <c r="M131" s="5" t="n">
        <v>59</v>
      </c>
      <c r="N131" s="5" t="n">
        <v>143</v>
      </c>
      <c r="O131" s="5">
        <f>ROUND(N131/J131*100,2)</f>
        <v/>
      </c>
      <c r="P131" s="5">
        <f>7647.84</f>
        <v/>
      </c>
      <c r="Q131" s="5">
        <f>ROUND(P131/H131,2)</f>
        <v/>
      </c>
      <c r="R131" s="5">
        <f>IF(K131&gt;0,ROUND(H131/K131,2),999)</f>
        <v/>
      </c>
      <c r="S131" s="5" t="inlineStr">
        <is>
          <t>Meal Kit</t>
        </is>
      </c>
      <c r="T131" s="5" t="n">
        <v>320</v>
      </c>
      <c r="U131" s="5" t="n">
        <v>237</v>
      </c>
      <c r="V131" s="5" t="n">
        <v>5936</v>
      </c>
      <c r="W131" s="4" t="inlineStr">
        <is>
          <t>Subscription retention improving month-over-month.</t>
        </is>
      </c>
    </row>
    <row r="132">
      <c r="A132" s="2" t="inlineStr">
        <is>
          <t>2024-05-10</t>
        </is>
      </c>
      <c r="B132" s="2" t="inlineStr">
        <is>
          <t>Friday</t>
        </is>
      </c>
      <c r="C132" s="2" t="n">
        <v>19</v>
      </c>
      <c r="D132" s="2" t="n">
        <v>5</v>
      </c>
      <c r="E132" s="2" t="n">
        <v>2</v>
      </c>
      <c r="F132" s="2" t="inlineStr">
        <is>
          <t>Spring</t>
        </is>
      </c>
      <c r="G132" s="2" t="inlineStr">
        <is>
          <t>Optimization</t>
        </is>
      </c>
      <c r="H132" s="3">
        <f>1483.29</f>
        <v/>
      </c>
      <c r="I132" s="3" t="n">
        <v>13564</v>
      </c>
      <c r="J132" s="3" t="n">
        <v>633</v>
      </c>
      <c r="K132" s="3">
        <f>ROUND(C132/I132*100,2)</f>
        <v/>
      </c>
      <c r="L132" s="3" t="n">
        <v>56</v>
      </c>
      <c r="M132" s="3" t="n">
        <v>32</v>
      </c>
      <c r="N132" s="3" t="n">
        <v>88</v>
      </c>
      <c r="O132" s="3">
        <f>ROUND(N132/J132*100,2)</f>
        <v/>
      </c>
      <c r="P132" s="3">
        <f>5580.92</f>
        <v/>
      </c>
      <c r="Q132" s="3">
        <f>ROUND(P132/H132,2)</f>
        <v/>
      </c>
      <c r="R132" s="3">
        <f>IF(K132&gt;0,ROUND(H132/K132,2),999)</f>
        <v/>
      </c>
      <c r="S132" s="3" t="inlineStr">
        <is>
          <t>Pantry</t>
        </is>
      </c>
      <c r="T132" s="3" t="n">
        <v>248</v>
      </c>
      <c r="U132" s="3" t="n">
        <v>57</v>
      </c>
      <c r="V132" s="3" t="n">
        <v>2062</v>
      </c>
      <c r="W132" s="2" t="inlineStr">
        <is>
          <t>High-intent keyword performance exceeding benchmarks.</t>
        </is>
      </c>
    </row>
    <row r="133">
      <c r="A133" s="4" t="inlineStr">
        <is>
          <t>2024-05-11</t>
        </is>
      </c>
      <c r="B133" s="4" t="inlineStr">
        <is>
          <t>Saturday</t>
        </is>
      </c>
      <c r="C133" s="4" t="n">
        <v>19</v>
      </c>
      <c r="D133" s="4" t="n">
        <v>5</v>
      </c>
      <c r="E133" s="4" t="n">
        <v>2</v>
      </c>
      <c r="F133" s="4" t="inlineStr">
        <is>
          <t>Spring</t>
        </is>
      </c>
      <c r="G133" s="4" t="inlineStr">
        <is>
          <t>Optimization</t>
        </is>
      </c>
      <c r="H133" s="5">
        <f>1093.82</f>
        <v/>
      </c>
      <c r="I133" s="5" t="n">
        <v>8795</v>
      </c>
      <c r="J133" s="5" t="n">
        <v>390</v>
      </c>
      <c r="K133" s="5">
        <f>ROUND(C133/I133*100,2)</f>
        <v/>
      </c>
      <c r="L133" s="5" t="n">
        <v>27</v>
      </c>
      <c r="M133" s="5" t="n">
        <v>16</v>
      </c>
      <c r="N133" s="5" t="n">
        <v>43</v>
      </c>
      <c r="O133" s="5">
        <f>ROUND(N133/J133*100,2)</f>
        <v/>
      </c>
      <c r="P133" s="5">
        <f>2753.08</f>
        <v/>
      </c>
      <c r="Q133" s="5">
        <f>ROUND(P133/H133,2)</f>
        <v/>
      </c>
      <c r="R133" s="5">
        <f>IF(K133&gt;0,ROUND(H133/K133,2),999)</f>
        <v/>
      </c>
      <c r="S133" s="5" t="inlineStr">
        <is>
          <t>Meal Kit</t>
        </is>
      </c>
      <c r="T133" s="5" t="n">
        <v>303</v>
      </c>
      <c r="U133" s="5" t="n">
        <v>74</v>
      </c>
      <c r="V133" s="5" t="n">
        <v>2437</v>
      </c>
      <c r="W133" s="4" t="inlineStr">
        <is>
          <t>Test of lifestyle content format underperforming, discontinued.</t>
        </is>
      </c>
    </row>
    <row r="134">
      <c r="A134" s="2" t="inlineStr">
        <is>
          <t>2024-05-12</t>
        </is>
      </c>
      <c r="B134" s="2" t="inlineStr">
        <is>
          <t>Sunday</t>
        </is>
      </c>
      <c r="C134" s="2" t="n">
        <v>19</v>
      </c>
      <c r="D134" s="2" t="n">
        <v>5</v>
      </c>
      <c r="E134" s="2" t="n">
        <v>2</v>
      </c>
      <c r="F134" s="2" t="inlineStr">
        <is>
          <t>Spring</t>
        </is>
      </c>
      <c r="G134" s="2" t="inlineStr">
        <is>
          <t>Optimization</t>
        </is>
      </c>
      <c r="H134" s="3">
        <f>992.85</f>
        <v/>
      </c>
      <c r="I134" s="3" t="n">
        <v>10098</v>
      </c>
      <c r="J134" s="3" t="n">
        <v>792</v>
      </c>
      <c r="K134" s="3">
        <f>ROUND(C134/I134*100,2)</f>
        <v/>
      </c>
      <c r="L134" s="3" t="n">
        <v>46</v>
      </c>
      <c r="M134" s="3" t="n">
        <v>29</v>
      </c>
      <c r="N134" s="3" t="n">
        <v>75</v>
      </c>
      <c r="O134" s="3">
        <f>ROUND(N134/J134*100,2)</f>
        <v/>
      </c>
      <c r="P134" s="3">
        <f>4445.24</f>
        <v/>
      </c>
      <c r="Q134" s="3">
        <f>ROUND(P134/H134,2)</f>
        <v/>
      </c>
      <c r="R134" s="3">
        <f>IF(K134&gt;0,ROUND(H134/K134,2),999)</f>
        <v/>
      </c>
      <c r="S134" s="3" t="inlineStr">
        <is>
          <t>Snack Box</t>
        </is>
      </c>
      <c r="T134" s="3" t="n">
        <v>341</v>
      </c>
      <c r="U134" s="3" t="n">
        <v>88</v>
      </c>
      <c r="V134" s="3" t="n">
        <v>1489</v>
      </c>
      <c r="W134" s="2" t="inlineStr">
        <is>
          <t>Mobile conversion rate optimization showing 12% improvement.</t>
        </is>
      </c>
    </row>
    <row r="135">
      <c r="A135" s="4" t="inlineStr">
        <is>
          <t>2024-05-13</t>
        </is>
      </c>
      <c r="B135" s="4" t="inlineStr">
        <is>
          <t>Monday</t>
        </is>
      </c>
      <c r="C135" s="4" t="n">
        <v>20</v>
      </c>
      <c r="D135" s="4" t="n">
        <v>5</v>
      </c>
      <c r="E135" s="4" t="n">
        <v>2</v>
      </c>
      <c r="F135" s="4" t="inlineStr">
        <is>
          <t>Spring</t>
        </is>
      </c>
      <c r="G135" s="4" t="inlineStr">
        <is>
          <t>Optimization</t>
        </is>
      </c>
      <c r="H135" s="5">
        <f>1760.56</f>
        <v/>
      </c>
      <c r="I135" s="5" t="n">
        <v>16194</v>
      </c>
      <c r="J135" s="5" t="n">
        <v>1053</v>
      </c>
      <c r="K135" s="5">
        <f>ROUND(C135/I135*100,2)</f>
        <v/>
      </c>
      <c r="L135" s="5" t="n">
        <v>88</v>
      </c>
      <c r="M135" s="5" t="n">
        <v>24</v>
      </c>
      <c r="N135" s="5" t="n">
        <v>112</v>
      </c>
      <c r="O135" s="5">
        <f>ROUND(N135/J135*100,2)</f>
        <v/>
      </c>
      <c r="P135" s="5">
        <f>6521.04</f>
        <v/>
      </c>
      <c r="Q135" s="5">
        <f>ROUND(P135/H135,2)</f>
        <v/>
      </c>
      <c r="R135" s="5">
        <f>IF(K135&gt;0,ROUND(H135/K135,2),999)</f>
        <v/>
      </c>
      <c r="S135" s="5" t="inlineStr">
        <is>
          <t>Pantry</t>
        </is>
      </c>
      <c r="T135" s="5" t="n">
        <v>781</v>
      </c>
      <c r="U135" s="5" t="n">
        <v>139</v>
      </c>
      <c r="V135" s="5" t="n">
        <v>2797</v>
      </c>
      <c r="W135" s="4" t="inlineStr">
        <is>
          <t>Strong Friday engagement, peak subscription signups.</t>
        </is>
      </c>
    </row>
    <row r="136">
      <c r="A136" s="2" t="inlineStr">
        <is>
          <t>2024-05-14</t>
        </is>
      </c>
      <c r="B136" s="2" t="inlineStr">
        <is>
          <t>Tuesday</t>
        </is>
      </c>
      <c r="C136" s="2" t="n">
        <v>20</v>
      </c>
      <c r="D136" s="2" t="n">
        <v>5</v>
      </c>
      <c r="E136" s="2" t="n">
        <v>2</v>
      </c>
      <c r="F136" s="2" t="inlineStr">
        <is>
          <t>Spring</t>
        </is>
      </c>
      <c r="G136" s="2" t="inlineStr">
        <is>
          <t>Optimization</t>
        </is>
      </c>
      <c r="H136" s="3">
        <f>1707.74</f>
        <v/>
      </c>
      <c r="I136" s="3" t="n">
        <v>18364</v>
      </c>
      <c r="J136" s="3" t="n">
        <v>373</v>
      </c>
      <c r="K136" s="3">
        <f>ROUND(C136/I136*100,2)</f>
        <v/>
      </c>
      <c r="L136" s="3" t="n">
        <v>43</v>
      </c>
      <c r="M136" s="3" t="n">
        <v>15</v>
      </c>
      <c r="N136" s="3" t="n">
        <v>58</v>
      </c>
      <c r="O136" s="3">
        <f>ROUND(N136/J136*100,2)</f>
        <v/>
      </c>
      <c r="P136" s="3">
        <f>3537.38</f>
        <v/>
      </c>
      <c r="Q136" s="3">
        <f>ROUND(P136/H136,2)</f>
        <v/>
      </c>
      <c r="R136" s="3">
        <f>IF(K136&gt;0,ROUND(H136/K136,2),999)</f>
        <v/>
      </c>
      <c r="S136" s="3" t="inlineStr">
        <is>
          <t>Meal Kit</t>
        </is>
      </c>
      <c r="T136" s="3" t="n">
        <v>265</v>
      </c>
      <c r="U136" s="3" t="n">
        <v>30</v>
      </c>
      <c r="V136" s="3" t="n">
        <v>6405</v>
      </c>
      <c r="W136" s="2" t="inlineStr">
        <is>
          <t>Mobile conversion rate optimization showing 12% improvement.</t>
        </is>
      </c>
    </row>
    <row r="137">
      <c r="A137" s="4" t="inlineStr">
        <is>
          <t>2024-05-15</t>
        </is>
      </c>
      <c r="B137" s="4" t="inlineStr">
        <is>
          <t>Wednesday</t>
        </is>
      </c>
      <c r="C137" s="4" t="n">
        <v>20</v>
      </c>
      <c r="D137" s="4" t="n">
        <v>5</v>
      </c>
      <c r="E137" s="4" t="n">
        <v>2</v>
      </c>
      <c r="F137" s="4" t="inlineStr">
        <is>
          <t>Spring</t>
        </is>
      </c>
      <c r="G137" s="4" t="inlineStr">
        <is>
          <t>Optimization</t>
        </is>
      </c>
      <c r="H137" s="5">
        <f>1430.36</f>
        <v/>
      </c>
      <c r="I137" s="5" t="n">
        <v>14057</v>
      </c>
      <c r="J137" s="5" t="n">
        <v>991</v>
      </c>
      <c r="K137" s="5">
        <f>ROUND(C137/I137*100,2)</f>
        <v/>
      </c>
      <c r="L137" s="5" t="n">
        <v>90</v>
      </c>
      <c r="M137" s="5" t="n">
        <v>54</v>
      </c>
      <c r="N137" s="5" t="n">
        <v>144</v>
      </c>
      <c r="O137" s="5">
        <f>ROUND(N137/J137*100,2)</f>
        <v/>
      </c>
      <c r="P137" s="5">
        <f>9060.05</f>
        <v/>
      </c>
      <c r="Q137" s="5">
        <f>ROUND(P137/H137,2)</f>
        <v/>
      </c>
      <c r="R137" s="5">
        <f>IF(K137&gt;0,ROUND(H137/K137,2),999)</f>
        <v/>
      </c>
      <c r="S137" s="5" t="inlineStr">
        <is>
          <t>Snack Box</t>
        </is>
      </c>
      <c r="T137" s="5" t="n">
        <v>431</v>
      </c>
      <c r="U137" s="5" t="n">
        <v>143</v>
      </c>
      <c r="V137" s="5" t="n">
        <v>4476</v>
      </c>
      <c r="W137" s="4" t="inlineStr">
        <is>
          <t>Subscription retention improving month-over-month.</t>
        </is>
      </c>
    </row>
    <row r="138">
      <c r="A138" s="2" t="inlineStr">
        <is>
          <t>2024-05-16</t>
        </is>
      </c>
      <c r="B138" s="2" t="inlineStr">
        <is>
          <t>Thursday</t>
        </is>
      </c>
      <c r="C138" s="2" t="n">
        <v>20</v>
      </c>
      <c r="D138" s="2" t="n">
        <v>5</v>
      </c>
      <c r="E138" s="2" t="n">
        <v>2</v>
      </c>
      <c r="F138" s="2" t="inlineStr">
        <is>
          <t>Spring</t>
        </is>
      </c>
      <c r="G138" s="2" t="inlineStr">
        <is>
          <t>Optimization</t>
        </is>
      </c>
      <c r="H138" s="3">
        <f>1843.42</f>
        <v/>
      </c>
      <c r="I138" s="3" t="n">
        <v>22267</v>
      </c>
      <c r="J138" s="3" t="n">
        <v>815</v>
      </c>
      <c r="K138" s="3">
        <f>ROUND(C138/I138*100,2)</f>
        <v/>
      </c>
      <c r="L138" s="3" t="n">
        <v>55</v>
      </c>
      <c r="M138" s="3" t="n">
        <v>17</v>
      </c>
      <c r="N138" s="3" t="n">
        <v>72</v>
      </c>
      <c r="O138" s="3">
        <f>ROUND(N138/J138*100,2)</f>
        <v/>
      </c>
      <c r="P138" s="3">
        <f>4098.48</f>
        <v/>
      </c>
      <c r="Q138" s="3">
        <f>ROUND(P138/H138,2)</f>
        <v/>
      </c>
      <c r="R138" s="3">
        <f>IF(K138&gt;0,ROUND(H138/K138,2),999)</f>
        <v/>
      </c>
      <c r="S138" s="3" t="inlineStr">
        <is>
          <t>Meal Kit</t>
        </is>
      </c>
      <c r="T138" s="3" t="n">
        <v>453</v>
      </c>
      <c r="U138" s="3" t="n">
        <v>160</v>
      </c>
      <c r="V138" s="3" t="n">
        <v>8059</v>
      </c>
      <c r="W138" s="2" t="inlineStr">
        <is>
          <t>Organic search volume spike due to influencer mention.</t>
        </is>
      </c>
    </row>
    <row r="139">
      <c r="A139" s="4" t="inlineStr">
        <is>
          <t>2024-05-17</t>
        </is>
      </c>
      <c r="B139" s="4" t="inlineStr">
        <is>
          <t>Friday</t>
        </is>
      </c>
      <c r="C139" s="4" t="n">
        <v>20</v>
      </c>
      <c r="D139" s="4" t="n">
        <v>5</v>
      </c>
      <c r="E139" s="4" t="n">
        <v>2</v>
      </c>
      <c r="F139" s="4" t="inlineStr">
        <is>
          <t>Spring</t>
        </is>
      </c>
      <c r="G139" s="4" t="inlineStr">
        <is>
          <t>Optimization</t>
        </is>
      </c>
      <c r="H139" s="5">
        <f>1607.34</f>
        <v/>
      </c>
      <c r="I139" s="5" t="n">
        <v>19305</v>
      </c>
      <c r="J139" s="5" t="n">
        <v>1411</v>
      </c>
      <c r="K139" s="5">
        <f>ROUND(C139/I139*100,2)</f>
        <v/>
      </c>
      <c r="L139" s="5" t="n">
        <v>134</v>
      </c>
      <c r="M139" s="5" t="n">
        <v>71</v>
      </c>
      <c r="N139" s="5" t="n">
        <v>205</v>
      </c>
      <c r="O139" s="5">
        <f>ROUND(N139/J139*100,2)</f>
        <v/>
      </c>
      <c r="P139" s="5">
        <f>9847.86</f>
        <v/>
      </c>
      <c r="Q139" s="5">
        <f>ROUND(P139/H139,2)</f>
        <v/>
      </c>
      <c r="R139" s="5">
        <f>IF(K139&gt;0,ROUND(H139/K139,2),999)</f>
        <v/>
      </c>
      <c r="S139" s="5" t="inlineStr">
        <is>
          <t>Pantry</t>
        </is>
      </c>
      <c r="T139" s="5" t="n">
        <v>1115</v>
      </c>
      <c r="U139" s="5" t="n">
        <v>270</v>
      </c>
      <c r="V139" s="5" t="n">
        <v>3471</v>
      </c>
      <c r="W139" s="4" t="inlineStr">
        <is>
          <t>Bundle promotion resonating with families segment.</t>
        </is>
      </c>
    </row>
    <row r="140">
      <c r="A140" s="2" t="inlineStr">
        <is>
          <t>2024-05-18</t>
        </is>
      </c>
      <c r="B140" s="2" t="inlineStr">
        <is>
          <t>Saturday</t>
        </is>
      </c>
      <c r="C140" s="2" t="n">
        <v>20</v>
      </c>
      <c r="D140" s="2" t="n">
        <v>5</v>
      </c>
      <c r="E140" s="2" t="n">
        <v>2</v>
      </c>
      <c r="F140" s="2" t="inlineStr">
        <is>
          <t>Spring</t>
        </is>
      </c>
      <c r="G140" s="2" t="inlineStr">
        <is>
          <t>Optimization</t>
        </is>
      </c>
      <c r="H140" s="3">
        <f>1294.97</f>
        <v/>
      </c>
      <c r="I140" s="3" t="n">
        <v>14292</v>
      </c>
      <c r="J140" s="3" t="n">
        <v>909</v>
      </c>
      <c r="K140" s="3">
        <f>ROUND(C140/I140*100,2)</f>
        <v/>
      </c>
      <c r="L140" s="3" t="n">
        <v>64</v>
      </c>
      <c r="M140" s="3" t="n">
        <v>27</v>
      </c>
      <c r="N140" s="3" t="n">
        <v>91</v>
      </c>
      <c r="O140" s="3">
        <f>ROUND(N140/J140*100,2)</f>
        <v/>
      </c>
      <c r="P140" s="3">
        <f>5467.60</f>
        <v/>
      </c>
      <c r="Q140" s="3">
        <f>ROUND(P140/H140,2)</f>
        <v/>
      </c>
      <c r="R140" s="3">
        <f>IF(K140&gt;0,ROUND(H140/K140,2),999)</f>
        <v/>
      </c>
      <c r="S140" s="3" t="inlineStr">
        <is>
          <t>Snack Box</t>
        </is>
      </c>
      <c r="T140" s="3" t="n">
        <v>540</v>
      </c>
      <c r="U140" s="3" t="n">
        <v>84</v>
      </c>
      <c r="V140" s="3" t="n">
        <v>4917</v>
      </c>
      <c r="W140" s="2" t="inlineStr">
        <is>
          <t>Display network efficiency improved after audience refinement.</t>
        </is>
      </c>
    </row>
    <row r="141">
      <c r="A141" s="4" t="inlineStr">
        <is>
          <t>2024-05-19</t>
        </is>
      </c>
      <c r="B141" s="4" t="inlineStr">
        <is>
          <t>Sunday</t>
        </is>
      </c>
      <c r="C141" s="4" t="n">
        <v>20</v>
      </c>
      <c r="D141" s="4" t="n">
        <v>5</v>
      </c>
      <c r="E141" s="4" t="n">
        <v>2</v>
      </c>
      <c r="F141" s="4" t="inlineStr">
        <is>
          <t>Spring</t>
        </is>
      </c>
      <c r="G141" s="4" t="inlineStr">
        <is>
          <t>Optimization</t>
        </is>
      </c>
      <c r="H141" s="5">
        <f>1166.44</f>
        <v/>
      </c>
      <c r="I141" s="5" t="n">
        <v>13054</v>
      </c>
      <c r="J141" s="5" t="n">
        <v>351</v>
      </c>
      <c r="K141" s="5">
        <f>ROUND(C141/I141*100,2)</f>
        <v/>
      </c>
      <c r="L141" s="5" t="n">
        <v>28</v>
      </c>
      <c r="M141" s="5" t="n">
        <v>14</v>
      </c>
      <c r="N141" s="5" t="n">
        <v>42</v>
      </c>
      <c r="O141" s="5">
        <f>ROUND(N141/J141*100,2)</f>
        <v/>
      </c>
      <c r="P141" s="5">
        <f>2420.58</f>
        <v/>
      </c>
      <c r="Q141" s="5">
        <f>ROUND(P141/H141,2)</f>
        <v/>
      </c>
      <c r="R141" s="5">
        <f>IF(K141&gt;0,ROUND(H141/K141,2),999)</f>
        <v/>
      </c>
      <c r="S141" s="5" t="inlineStr">
        <is>
          <t>Pantry</t>
        </is>
      </c>
      <c r="T141" s="5" t="n">
        <v>129</v>
      </c>
      <c r="U141" s="5" t="n">
        <v>58</v>
      </c>
      <c r="V141" s="5" t="n">
        <v>2279</v>
      </c>
      <c r="W141" s="4" t="inlineStr">
        <is>
          <t>High-intent keyword performance exceeding benchmarks.</t>
        </is>
      </c>
    </row>
    <row r="142">
      <c r="A142" s="2" t="inlineStr">
        <is>
          <t>2024-05-20</t>
        </is>
      </c>
      <c r="B142" s="2" t="inlineStr">
        <is>
          <t>Monday</t>
        </is>
      </c>
      <c r="C142" s="2" t="n">
        <v>21</v>
      </c>
      <c r="D142" s="2" t="n">
        <v>5</v>
      </c>
      <c r="E142" s="2" t="n">
        <v>2</v>
      </c>
      <c r="F142" s="2" t="inlineStr">
        <is>
          <t>Spring</t>
        </is>
      </c>
      <c r="G142" s="2" t="inlineStr">
        <is>
          <t>Optimization</t>
        </is>
      </c>
      <c r="H142" s="3">
        <f>1768.94</f>
        <v/>
      </c>
      <c r="I142" s="3" t="n">
        <v>16790</v>
      </c>
      <c r="J142" s="3" t="n">
        <v>780</v>
      </c>
      <c r="K142" s="3">
        <f>ROUND(C142/I142*100,2)</f>
        <v/>
      </c>
      <c r="L142" s="3" t="n">
        <v>69</v>
      </c>
      <c r="M142" s="3" t="n">
        <v>35</v>
      </c>
      <c r="N142" s="3" t="n">
        <v>104</v>
      </c>
      <c r="O142" s="3">
        <f>ROUND(N142/J142*100,2)</f>
        <v/>
      </c>
      <c r="P142" s="3">
        <f>6224.95</f>
        <v/>
      </c>
      <c r="Q142" s="3">
        <f>ROUND(P142/H142,2)</f>
        <v/>
      </c>
      <c r="R142" s="3">
        <f>IF(K142&gt;0,ROUND(H142/K142,2),999)</f>
        <v/>
      </c>
      <c r="S142" s="3" t="inlineStr">
        <is>
          <t>Meal Kit</t>
        </is>
      </c>
      <c r="T142" s="3" t="n">
        <v>441</v>
      </c>
      <c r="U142" s="3" t="n">
        <v>175</v>
      </c>
      <c r="V142" s="3" t="n">
        <v>2493</v>
      </c>
      <c r="W142" s="2" t="inlineStr">
        <is>
          <t>Display network efficiency improved after audience refinement.</t>
        </is>
      </c>
    </row>
    <row r="143">
      <c r="A143" s="4" t="inlineStr">
        <is>
          <t>2024-05-21</t>
        </is>
      </c>
      <c r="B143" s="4" t="inlineStr">
        <is>
          <t>Tuesday</t>
        </is>
      </c>
      <c r="C143" s="4" t="n">
        <v>21</v>
      </c>
      <c r="D143" s="4" t="n">
        <v>5</v>
      </c>
      <c r="E143" s="4" t="n">
        <v>2</v>
      </c>
      <c r="F143" s="4" t="inlineStr">
        <is>
          <t>Spring</t>
        </is>
      </c>
      <c r="G143" s="4" t="inlineStr">
        <is>
          <t>Optimization</t>
        </is>
      </c>
      <c r="H143" s="5">
        <f>1801.56</f>
        <v/>
      </c>
      <c r="I143" s="5" t="n">
        <v>18510</v>
      </c>
      <c r="J143" s="5" t="n">
        <v>654</v>
      </c>
      <c r="K143" s="5">
        <f>ROUND(C143/I143*100,2)</f>
        <v/>
      </c>
      <c r="L143" s="5" t="n">
        <v>46</v>
      </c>
      <c r="M143" s="5" t="n">
        <v>34</v>
      </c>
      <c r="N143" s="5" t="n">
        <v>80</v>
      </c>
      <c r="O143" s="5">
        <f>ROUND(N143/J143*100,2)</f>
        <v/>
      </c>
      <c r="P143" s="5">
        <f>3614.91</f>
        <v/>
      </c>
      <c r="Q143" s="5">
        <f>ROUND(P143/H143,2)</f>
        <v/>
      </c>
      <c r="R143" s="5">
        <f>IF(K143&gt;0,ROUND(H143/K143,2),999)</f>
        <v/>
      </c>
      <c r="S143" s="5" t="inlineStr">
        <is>
          <t>Pantry</t>
        </is>
      </c>
      <c r="T143" s="5" t="n">
        <v>201</v>
      </c>
      <c r="U143" s="5" t="n">
        <v>117</v>
      </c>
      <c r="V143" s="5" t="n">
        <v>6264</v>
      </c>
      <c r="W143" s="4" t="inlineStr">
        <is>
          <t>Bundle promotion resonating with families segment.</t>
        </is>
      </c>
    </row>
    <row r="144">
      <c r="A144" s="2" t="inlineStr">
        <is>
          <t>2024-05-22</t>
        </is>
      </c>
      <c r="B144" s="2" t="inlineStr">
        <is>
          <t>Wednesday</t>
        </is>
      </c>
      <c r="C144" s="2" t="n">
        <v>21</v>
      </c>
      <c r="D144" s="2" t="n">
        <v>5</v>
      </c>
      <c r="E144" s="2" t="n">
        <v>2</v>
      </c>
      <c r="F144" s="2" t="inlineStr">
        <is>
          <t>Spring</t>
        </is>
      </c>
      <c r="G144" s="2" t="inlineStr">
        <is>
          <t>Optimization</t>
        </is>
      </c>
      <c r="H144" s="3">
        <f>1425.81</f>
        <v/>
      </c>
      <c r="I144" s="3" t="n">
        <v>12322</v>
      </c>
      <c r="J144" s="3" t="n">
        <v>423</v>
      </c>
      <c r="K144" s="3">
        <f>ROUND(C144/I144*100,2)</f>
        <v/>
      </c>
      <c r="L144" s="3" t="n">
        <v>44</v>
      </c>
      <c r="M144" s="3" t="n">
        <v>16</v>
      </c>
      <c r="N144" s="3" t="n">
        <v>60</v>
      </c>
      <c r="O144" s="3">
        <f>ROUND(N144/J144*100,2)</f>
        <v/>
      </c>
      <c r="P144" s="3">
        <f>2791.00</f>
        <v/>
      </c>
      <c r="Q144" s="3">
        <f>ROUND(P144/H144,2)</f>
        <v/>
      </c>
      <c r="R144" s="3">
        <f>IF(K144&gt;0,ROUND(H144/K144,2),999)</f>
        <v/>
      </c>
      <c r="S144" s="3" t="inlineStr">
        <is>
          <t>Snack Box</t>
        </is>
      </c>
      <c r="T144" s="3" t="n">
        <v>181</v>
      </c>
      <c r="U144" s="3" t="n">
        <v>48</v>
      </c>
      <c r="V144" s="3" t="n">
        <v>2237</v>
      </c>
      <c r="W144" s="2" t="inlineStr">
        <is>
          <t>New customer acquisition cost declining with better audience targeting.</t>
        </is>
      </c>
    </row>
    <row r="145">
      <c r="A145" s="4" t="inlineStr">
        <is>
          <t>2024-05-23</t>
        </is>
      </c>
      <c r="B145" s="4" t="inlineStr">
        <is>
          <t>Thursday</t>
        </is>
      </c>
      <c r="C145" s="4" t="n">
        <v>21</v>
      </c>
      <c r="D145" s="4" t="n">
        <v>5</v>
      </c>
      <c r="E145" s="4" t="n">
        <v>2</v>
      </c>
      <c r="F145" s="4" t="inlineStr">
        <is>
          <t>Spring</t>
        </is>
      </c>
      <c r="G145" s="4" t="inlineStr">
        <is>
          <t>Optimization</t>
        </is>
      </c>
      <c r="H145" s="5">
        <f>1663.13</f>
        <v/>
      </c>
      <c r="I145" s="5" t="n">
        <v>14844</v>
      </c>
      <c r="J145" s="5" t="n">
        <v>774</v>
      </c>
      <c r="K145" s="5">
        <f>ROUND(C145/I145*100,2)</f>
        <v/>
      </c>
      <c r="L145" s="5" t="n">
        <v>47</v>
      </c>
      <c r="M145" s="5" t="n">
        <v>42</v>
      </c>
      <c r="N145" s="5" t="n">
        <v>89</v>
      </c>
      <c r="O145" s="5">
        <f>ROUND(N145/J145*100,2)</f>
        <v/>
      </c>
      <c r="P145" s="5">
        <f>4794.84</f>
        <v/>
      </c>
      <c r="Q145" s="5">
        <f>ROUND(P145/H145,2)</f>
        <v/>
      </c>
      <c r="R145" s="5">
        <f>IF(K145&gt;0,ROUND(H145/K145,2),999)</f>
        <v/>
      </c>
      <c r="S145" s="5" t="inlineStr">
        <is>
          <t>Meal Kit</t>
        </is>
      </c>
      <c r="T145" s="5" t="n">
        <v>428</v>
      </c>
      <c r="U145" s="5" t="n">
        <v>130</v>
      </c>
      <c r="V145" s="5" t="n">
        <v>3718</v>
      </c>
      <c r="W145" s="4" t="inlineStr">
        <is>
          <t>YouTube pre-roll tested with product demo creatives.</t>
        </is>
      </c>
    </row>
    <row r="146">
      <c r="A146" s="2" t="inlineStr">
        <is>
          <t>2024-05-24</t>
        </is>
      </c>
      <c r="B146" s="2" t="inlineStr">
        <is>
          <t>Friday</t>
        </is>
      </c>
      <c r="C146" s="2" t="n">
        <v>21</v>
      </c>
      <c r="D146" s="2" t="n">
        <v>5</v>
      </c>
      <c r="E146" s="2" t="n">
        <v>2</v>
      </c>
      <c r="F146" s="2" t="inlineStr">
        <is>
          <t>Spring</t>
        </is>
      </c>
      <c r="G146" s="2" t="inlineStr">
        <is>
          <t>Optimization</t>
        </is>
      </c>
      <c r="H146" s="3">
        <f>1465.66</f>
        <v/>
      </c>
      <c r="I146" s="3" t="n">
        <v>18073</v>
      </c>
      <c r="J146" s="3" t="n">
        <v>597</v>
      </c>
      <c r="K146" s="3">
        <f>ROUND(C146/I146*100,2)</f>
        <v/>
      </c>
      <c r="L146" s="3" t="n">
        <v>33</v>
      </c>
      <c r="M146" s="3" t="n">
        <v>30</v>
      </c>
      <c r="N146" s="3" t="n">
        <v>63</v>
      </c>
      <c r="O146" s="3">
        <f>ROUND(N146/J146*100,2)</f>
        <v/>
      </c>
      <c r="P146" s="3">
        <f>3984.40</f>
        <v/>
      </c>
      <c r="Q146" s="3">
        <f>ROUND(P146/H146,2)</f>
        <v/>
      </c>
      <c r="R146" s="3">
        <f>IF(K146&gt;0,ROUND(H146/K146,2),999)</f>
        <v/>
      </c>
      <c r="S146" s="3" t="inlineStr">
        <is>
          <t>Pantry</t>
        </is>
      </c>
      <c r="T146" s="3" t="n">
        <v>225</v>
      </c>
      <c r="U146" s="3" t="n">
        <v>35</v>
      </c>
      <c r="V146" s="3" t="n">
        <v>3228</v>
      </c>
      <c r="W146" s="2" t="inlineStr">
        <is>
          <t>Mobile conversion rate optimization showing 12% improvement.</t>
        </is>
      </c>
    </row>
    <row r="147">
      <c r="A147" s="4" t="inlineStr">
        <is>
          <t>2024-05-25</t>
        </is>
      </c>
      <c r="B147" s="4" t="inlineStr">
        <is>
          <t>Saturday</t>
        </is>
      </c>
      <c r="C147" s="4" t="n">
        <v>21</v>
      </c>
      <c r="D147" s="4" t="n">
        <v>5</v>
      </c>
      <c r="E147" s="4" t="n">
        <v>2</v>
      </c>
      <c r="F147" s="4" t="inlineStr">
        <is>
          <t>Spring</t>
        </is>
      </c>
      <c r="G147" s="4" t="inlineStr">
        <is>
          <t>Optimization</t>
        </is>
      </c>
      <c r="H147" s="5">
        <f>1187.31</f>
        <v/>
      </c>
      <c r="I147" s="5" t="n">
        <v>17723</v>
      </c>
      <c r="J147" s="5" t="n">
        <v>852</v>
      </c>
      <c r="K147" s="5">
        <f>ROUND(C147/I147*100,2)</f>
        <v/>
      </c>
      <c r="L147" s="5" t="n">
        <v>97</v>
      </c>
      <c r="M147" s="5" t="n">
        <v>39</v>
      </c>
      <c r="N147" s="5" t="n">
        <v>136</v>
      </c>
      <c r="O147" s="5">
        <f>ROUND(N147/J147*100,2)</f>
        <v/>
      </c>
      <c r="P147" s="5">
        <f>6484.40</f>
        <v/>
      </c>
      <c r="Q147" s="5">
        <f>ROUND(P147/H147,2)</f>
        <v/>
      </c>
      <c r="R147" s="5">
        <f>IF(K147&gt;0,ROUND(H147/K147,2),999)</f>
        <v/>
      </c>
      <c r="S147" s="5" t="inlineStr">
        <is>
          <t>Pantry</t>
        </is>
      </c>
      <c r="T147" s="5" t="n">
        <v>353</v>
      </c>
      <c r="U147" s="5" t="n">
        <v>181</v>
      </c>
      <c r="V147" s="5" t="n">
        <v>1888</v>
      </c>
      <c r="W147" s="4" t="inlineStr">
        <is>
          <t>Tuesday peak for email nurture campaigns.</t>
        </is>
      </c>
    </row>
    <row r="148">
      <c r="A148" s="2" t="inlineStr">
        <is>
          <t>2024-05-26</t>
        </is>
      </c>
      <c r="B148" s="2" t="inlineStr">
        <is>
          <t>Sunday</t>
        </is>
      </c>
      <c r="C148" s="2" t="n">
        <v>21</v>
      </c>
      <c r="D148" s="2" t="n">
        <v>5</v>
      </c>
      <c r="E148" s="2" t="n">
        <v>2</v>
      </c>
      <c r="F148" s="2" t="inlineStr">
        <is>
          <t>Spring</t>
        </is>
      </c>
      <c r="G148" s="2" t="inlineStr">
        <is>
          <t>Optimization</t>
        </is>
      </c>
      <c r="H148" s="3">
        <f>1272.81</f>
        <v/>
      </c>
      <c r="I148" s="3" t="n">
        <v>14403</v>
      </c>
      <c r="J148" s="3" t="n">
        <v>481</v>
      </c>
      <c r="K148" s="3">
        <f>ROUND(C148/I148*100,2)</f>
        <v/>
      </c>
      <c r="L148" s="3" t="n">
        <v>32</v>
      </c>
      <c r="M148" s="3" t="n">
        <v>23</v>
      </c>
      <c r="N148" s="3" t="n">
        <v>55</v>
      </c>
      <c r="O148" s="3">
        <f>ROUND(N148/J148*100,2)</f>
        <v/>
      </c>
      <c r="P148" s="3">
        <f>2704.21</f>
        <v/>
      </c>
      <c r="Q148" s="3">
        <f>ROUND(P148/H148,2)</f>
        <v/>
      </c>
      <c r="R148" s="3">
        <f>IF(K148&gt;0,ROUND(H148/K148,2),999)</f>
        <v/>
      </c>
      <c r="S148" s="3" t="inlineStr">
        <is>
          <t>Pantry</t>
        </is>
      </c>
      <c r="T148" s="3" t="n">
        <v>151</v>
      </c>
      <c r="U148" s="3" t="n">
        <v>46</v>
      </c>
      <c r="V148" s="3" t="n">
        <v>1954</v>
      </c>
      <c r="W148" s="2" t="inlineStr">
        <is>
          <t>High-intent keyword performance exceeding benchmarks.</t>
        </is>
      </c>
    </row>
    <row r="149">
      <c r="A149" s="4" t="inlineStr">
        <is>
          <t>2024-05-27</t>
        </is>
      </c>
      <c r="B149" s="4" t="inlineStr">
        <is>
          <t>Monday</t>
        </is>
      </c>
      <c r="C149" s="4" t="n">
        <v>22</v>
      </c>
      <c r="D149" s="4" t="n">
        <v>5</v>
      </c>
      <c r="E149" s="4" t="n">
        <v>2</v>
      </c>
      <c r="F149" s="4" t="inlineStr">
        <is>
          <t>Spring</t>
        </is>
      </c>
      <c r="G149" s="4" t="inlineStr">
        <is>
          <t>Optimization</t>
        </is>
      </c>
      <c r="H149" s="5">
        <f>1407.01</f>
        <v/>
      </c>
      <c r="I149" s="5" t="n">
        <v>19803</v>
      </c>
      <c r="J149" s="5" t="n">
        <v>535</v>
      </c>
      <c r="K149" s="5">
        <f>ROUND(C149/I149*100,2)</f>
        <v/>
      </c>
      <c r="L149" s="5" t="n">
        <v>56</v>
      </c>
      <c r="M149" s="5" t="n">
        <v>17</v>
      </c>
      <c r="N149" s="5" t="n">
        <v>73</v>
      </c>
      <c r="O149" s="5">
        <f>ROUND(N149/J149*100,2)</f>
        <v/>
      </c>
      <c r="P149" s="5">
        <f>3638.38</f>
        <v/>
      </c>
      <c r="Q149" s="5">
        <f>ROUND(P149/H149,2)</f>
        <v/>
      </c>
      <c r="R149" s="5">
        <f>IF(K149&gt;0,ROUND(H149/K149,2),999)</f>
        <v/>
      </c>
      <c r="S149" s="5" t="inlineStr">
        <is>
          <t>Snack Box</t>
        </is>
      </c>
      <c r="T149" s="5" t="n">
        <v>166</v>
      </c>
      <c r="U149" s="5" t="n">
        <v>87</v>
      </c>
      <c r="V149" s="5" t="n">
        <v>5436</v>
      </c>
      <c r="W149" s="4" t="inlineStr">
        <is>
          <t>New customer acquisition cost declining with better audience targeting.</t>
        </is>
      </c>
    </row>
    <row r="150">
      <c r="A150" s="2" t="inlineStr">
        <is>
          <t>2024-05-28</t>
        </is>
      </c>
      <c r="B150" s="2" t="inlineStr">
        <is>
          <t>Tuesday</t>
        </is>
      </c>
      <c r="C150" s="2" t="n">
        <v>22</v>
      </c>
      <c r="D150" s="2" t="n">
        <v>5</v>
      </c>
      <c r="E150" s="2" t="n">
        <v>2</v>
      </c>
      <c r="F150" s="2" t="inlineStr">
        <is>
          <t>Spring</t>
        </is>
      </c>
      <c r="G150" s="2" t="inlineStr">
        <is>
          <t>Optimization</t>
        </is>
      </c>
      <c r="H150" s="3">
        <f>1463.22</f>
        <v/>
      </c>
      <c r="I150" s="3" t="n">
        <v>16795</v>
      </c>
      <c r="J150" s="3" t="n">
        <v>1233</v>
      </c>
      <c r="K150" s="3">
        <f>ROUND(C150/I150*100,2)</f>
        <v/>
      </c>
      <c r="L150" s="3" t="n">
        <v>108</v>
      </c>
      <c r="M150" s="3" t="n">
        <v>49</v>
      </c>
      <c r="N150" s="3" t="n">
        <v>157</v>
      </c>
      <c r="O150" s="3">
        <f>ROUND(N150/J150*100,2)</f>
        <v/>
      </c>
      <c r="P150" s="3">
        <f>7774.91</f>
        <v/>
      </c>
      <c r="Q150" s="3">
        <f>ROUND(P150/H150,2)</f>
        <v/>
      </c>
      <c r="R150" s="3">
        <f>IF(K150&gt;0,ROUND(H150/K150,2),999)</f>
        <v/>
      </c>
      <c r="S150" s="3" t="inlineStr">
        <is>
          <t>Snack Box</t>
        </is>
      </c>
      <c r="T150" s="3" t="n">
        <v>444</v>
      </c>
      <c r="U150" s="3" t="n">
        <v>62</v>
      </c>
      <c r="V150" s="3" t="n">
        <v>1941</v>
      </c>
      <c r="W150" s="2" t="inlineStr">
        <is>
          <t>Competitor promotion detected, reduced CPA achieved through optimization.</t>
        </is>
      </c>
    </row>
    <row r="151">
      <c r="A151" s="4" t="inlineStr">
        <is>
          <t>2024-05-29</t>
        </is>
      </c>
      <c r="B151" s="4" t="inlineStr">
        <is>
          <t>Wednesday</t>
        </is>
      </c>
      <c r="C151" s="4" t="n">
        <v>22</v>
      </c>
      <c r="D151" s="4" t="n">
        <v>5</v>
      </c>
      <c r="E151" s="4" t="n">
        <v>2</v>
      </c>
      <c r="F151" s="4" t="inlineStr">
        <is>
          <t>Spring</t>
        </is>
      </c>
      <c r="G151" s="4" t="inlineStr">
        <is>
          <t>Optimization</t>
        </is>
      </c>
      <c r="H151" s="5">
        <f>1754.60</f>
        <v/>
      </c>
      <c r="I151" s="5" t="n">
        <v>16191</v>
      </c>
      <c r="J151" s="5" t="n">
        <v>933</v>
      </c>
      <c r="K151" s="5">
        <f>ROUND(C151/I151*100,2)</f>
        <v/>
      </c>
      <c r="L151" s="5" t="n">
        <v>77</v>
      </c>
      <c r="M151" s="5" t="n">
        <v>24</v>
      </c>
      <c r="N151" s="5" t="n">
        <v>101</v>
      </c>
      <c r="O151" s="5">
        <f>ROUND(N151/J151*100,2)</f>
        <v/>
      </c>
      <c r="P151" s="5">
        <f>5770.15</f>
        <v/>
      </c>
      <c r="Q151" s="5">
        <f>ROUND(P151/H151,2)</f>
        <v/>
      </c>
      <c r="R151" s="5">
        <f>IF(K151&gt;0,ROUND(H151/K151,2),999)</f>
        <v/>
      </c>
      <c r="S151" s="5" t="inlineStr">
        <is>
          <t>Snack Box</t>
        </is>
      </c>
      <c r="T151" s="5" t="n">
        <v>460</v>
      </c>
      <c r="U151" s="5" t="n">
        <v>212</v>
      </c>
      <c r="V151" s="5" t="n">
        <v>6365</v>
      </c>
      <c r="W151" s="4" t="inlineStr">
        <is>
          <t>Meta lookalike audience expansion successful.</t>
        </is>
      </c>
    </row>
    <row r="152">
      <c r="A152" s="2" t="inlineStr">
        <is>
          <t>2024-05-30</t>
        </is>
      </c>
      <c r="B152" s="2" t="inlineStr">
        <is>
          <t>Thursday</t>
        </is>
      </c>
      <c r="C152" s="2" t="n">
        <v>22</v>
      </c>
      <c r="D152" s="2" t="n">
        <v>5</v>
      </c>
      <c r="E152" s="2" t="n">
        <v>2</v>
      </c>
      <c r="F152" s="2" t="inlineStr">
        <is>
          <t>Spring</t>
        </is>
      </c>
      <c r="G152" s="2" t="inlineStr">
        <is>
          <t>Optimization</t>
        </is>
      </c>
      <c r="H152" s="3">
        <f>1749.30</f>
        <v/>
      </c>
      <c r="I152" s="3" t="n">
        <v>17532</v>
      </c>
      <c r="J152" s="3" t="n">
        <v>848</v>
      </c>
      <c r="K152" s="3">
        <f>ROUND(C152/I152*100,2)</f>
        <v/>
      </c>
      <c r="L152" s="3" t="n">
        <v>62</v>
      </c>
      <c r="M152" s="3" t="n">
        <v>47</v>
      </c>
      <c r="N152" s="3" t="n">
        <v>109</v>
      </c>
      <c r="O152" s="3">
        <f>ROUND(N152/J152*100,2)</f>
        <v/>
      </c>
      <c r="P152" s="3">
        <f>5380.75</f>
        <v/>
      </c>
      <c r="Q152" s="3">
        <f>ROUND(P152/H152,2)</f>
        <v/>
      </c>
      <c r="R152" s="3">
        <f>IF(K152&gt;0,ROUND(H152/K152,2),999)</f>
        <v/>
      </c>
      <c r="S152" s="3" t="inlineStr">
        <is>
          <t>Pantry</t>
        </is>
      </c>
      <c r="T152" s="3" t="n">
        <v>566</v>
      </c>
      <c r="U152" s="3" t="n">
        <v>194</v>
      </c>
      <c r="V152" s="3" t="n">
        <v>6452</v>
      </c>
      <c r="W152" s="2" t="inlineStr">
        <is>
          <t>New TikTok creative launched, high initial impression share.</t>
        </is>
      </c>
    </row>
    <row r="153">
      <c r="A153" s="4" t="inlineStr">
        <is>
          <t>2024-05-31</t>
        </is>
      </c>
      <c r="B153" s="4" t="inlineStr">
        <is>
          <t>Friday</t>
        </is>
      </c>
      <c r="C153" s="4" t="n">
        <v>22</v>
      </c>
      <c r="D153" s="4" t="n">
        <v>5</v>
      </c>
      <c r="E153" s="4" t="n">
        <v>2</v>
      </c>
      <c r="F153" s="4" t="inlineStr">
        <is>
          <t>Spring</t>
        </is>
      </c>
      <c r="G153" s="4" t="inlineStr">
        <is>
          <t>Optimization</t>
        </is>
      </c>
      <c r="H153" s="5">
        <f>1514.34</f>
        <v/>
      </c>
      <c r="I153" s="5" t="n">
        <v>22467</v>
      </c>
      <c r="J153" s="5" t="n">
        <v>996</v>
      </c>
      <c r="K153" s="5">
        <f>ROUND(C153/I153*100,2)</f>
        <v/>
      </c>
      <c r="L153" s="5" t="n">
        <v>104</v>
      </c>
      <c r="M153" s="5" t="n">
        <v>31</v>
      </c>
      <c r="N153" s="5" t="n">
        <v>135</v>
      </c>
      <c r="O153" s="5">
        <f>ROUND(N153/J153*100,2)</f>
        <v/>
      </c>
      <c r="P153" s="5">
        <f>6693.86</f>
        <v/>
      </c>
      <c r="Q153" s="5">
        <f>ROUND(P153/H153,2)</f>
        <v/>
      </c>
      <c r="R153" s="5">
        <f>IF(K153&gt;0,ROUND(H153/K153,2),999)</f>
        <v/>
      </c>
      <c r="S153" s="5" t="inlineStr">
        <is>
          <t>Snack Box</t>
        </is>
      </c>
      <c r="T153" s="5" t="n">
        <v>465</v>
      </c>
      <c r="U153" s="5" t="n">
        <v>172</v>
      </c>
      <c r="V153" s="5" t="n">
        <v>7847</v>
      </c>
      <c r="W153" s="4" t="inlineStr">
        <is>
          <t>Display network efficiency improved after audience refinement.</t>
        </is>
      </c>
    </row>
    <row r="154">
      <c r="A154" s="2" t="inlineStr">
        <is>
          <t>2024-06-01</t>
        </is>
      </c>
      <c r="B154" s="2" t="inlineStr">
        <is>
          <t>Saturday</t>
        </is>
      </c>
      <c r="C154" s="2" t="n">
        <v>22</v>
      </c>
      <c r="D154" s="2" t="n">
        <v>6</v>
      </c>
      <c r="E154" s="2" t="n">
        <v>2</v>
      </c>
      <c r="F154" s="2" t="inlineStr">
        <is>
          <t>Summer</t>
        </is>
      </c>
      <c r="G154" s="2" t="inlineStr">
        <is>
          <t>Optimization</t>
        </is>
      </c>
      <c r="H154" s="3">
        <f>1293.99</f>
        <v/>
      </c>
      <c r="I154" s="3" t="n">
        <v>12818</v>
      </c>
      <c r="J154" s="3" t="n">
        <v>639</v>
      </c>
      <c r="K154" s="3">
        <f>ROUND(C154/I154*100,2)</f>
        <v/>
      </c>
      <c r="L154" s="3" t="n">
        <v>45</v>
      </c>
      <c r="M154" s="3" t="n">
        <v>28</v>
      </c>
      <c r="N154" s="3" t="n">
        <v>73</v>
      </c>
      <c r="O154" s="3">
        <f>ROUND(N154/J154*100,2)</f>
        <v/>
      </c>
      <c r="P154" s="3">
        <f>4492.34</f>
        <v/>
      </c>
      <c r="Q154" s="3">
        <f>ROUND(P154/H154,2)</f>
        <v/>
      </c>
      <c r="R154" s="3">
        <f>IF(K154&gt;0,ROUND(H154/K154,2),999)</f>
        <v/>
      </c>
      <c r="S154" s="3" t="inlineStr">
        <is>
          <t>Meal Kit</t>
        </is>
      </c>
      <c r="T154" s="3" t="n">
        <v>354</v>
      </c>
      <c r="U154" s="3" t="n">
        <v>60</v>
      </c>
      <c r="V154" s="3" t="n">
        <v>1695</v>
      </c>
      <c r="W154" s="2" t="inlineStr">
        <is>
          <t>Test of lifestyle content format underperforming, discontinued.</t>
        </is>
      </c>
    </row>
    <row r="155">
      <c r="A155" s="4" t="inlineStr">
        <is>
          <t>2024-06-02</t>
        </is>
      </c>
      <c r="B155" s="4" t="inlineStr">
        <is>
          <t>Sunday</t>
        </is>
      </c>
      <c r="C155" s="4" t="n">
        <v>22</v>
      </c>
      <c r="D155" s="4" t="n">
        <v>6</v>
      </c>
      <c r="E155" s="4" t="n">
        <v>2</v>
      </c>
      <c r="F155" s="4" t="inlineStr">
        <is>
          <t>Summer</t>
        </is>
      </c>
      <c r="G155" s="4" t="inlineStr">
        <is>
          <t>Optimization</t>
        </is>
      </c>
      <c r="H155" s="5">
        <f>1080.15</f>
        <v/>
      </c>
      <c r="I155" s="5" t="n">
        <v>12117</v>
      </c>
      <c r="J155" s="5" t="n">
        <v>398</v>
      </c>
      <c r="K155" s="5">
        <f>ROUND(C155/I155*100,2)</f>
        <v/>
      </c>
      <c r="L155" s="5" t="n">
        <v>38</v>
      </c>
      <c r="M155" s="5" t="n">
        <v>21</v>
      </c>
      <c r="N155" s="5" t="n">
        <v>59</v>
      </c>
      <c r="O155" s="5">
        <f>ROUND(N155/J155*100,2)</f>
        <v/>
      </c>
      <c r="P155" s="5">
        <f>3542.52</f>
        <v/>
      </c>
      <c r="Q155" s="5">
        <f>ROUND(P155/H155,2)</f>
        <v/>
      </c>
      <c r="R155" s="5">
        <f>IF(K155&gt;0,ROUND(H155/K155,2),999)</f>
        <v/>
      </c>
      <c r="S155" s="5" t="inlineStr">
        <is>
          <t>Pantry</t>
        </is>
      </c>
      <c r="T155" s="5" t="n">
        <v>236</v>
      </c>
      <c r="U155" s="5" t="n">
        <v>54</v>
      </c>
      <c r="V155" s="5" t="n">
        <v>3893</v>
      </c>
      <c r="W155" s="4" t="inlineStr">
        <is>
          <t>New TikTok creative launched, high initial impression share.</t>
        </is>
      </c>
    </row>
    <row r="156">
      <c r="A156" s="2" t="inlineStr">
        <is>
          <t>2024-06-03</t>
        </is>
      </c>
      <c r="B156" s="2" t="inlineStr">
        <is>
          <t>Monday</t>
        </is>
      </c>
      <c r="C156" s="2" t="n">
        <v>23</v>
      </c>
      <c r="D156" s="2" t="n">
        <v>6</v>
      </c>
      <c r="E156" s="2" t="n">
        <v>2</v>
      </c>
      <c r="F156" s="2" t="inlineStr">
        <is>
          <t>Summer</t>
        </is>
      </c>
      <c r="G156" s="2" t="inlineStr">
        <is>
          <t>Optimization</t>
        </is>
      </c>
      <c r="H156" s="3">
        <f>1555.85</f>
        <v/>
      </c>
      <c r="I156" s="3" t="n">
        <v>16187</v>
      </c>
      <c r="J156" s="3" t="n">
        <v>454</v>
      </c>
      <c r="K156" s="3">
        <f>ROUND(C156/I156*100,2)</f>
        <v/>
      </c>
      <c r="L156" s="3" t="n">
        <v>27</v>
      </c>
      <c r="M156" s="3" t="n">
        <v>26</v>
      </c>
      <c r="N156" s="3" t="n">
        <v>53</v>
      </c>
      <c r="O156" s="3">
        <f>ROUND(N156/J156*100,2)</f>
        <v/>
      </c>
      <c r="P156" s="3">
        <f>3251.66</f>
        <v/>
      </c>
      <c r="Q156" s="3">
        <f>ROUND(P156/H156,2)</f>
        <v/>
      </c>
      <c r="R156" s="3">
        <f>IF(K156&gt;0,ROUND(H156/K156,2),999)</f>
        <v/>
      </c>
      <c r="S156" s="3" t="inlineStr">
        <is>
          <t>Snack Box</t>
        </is>
      </c>
      <c r="T156" s="3" t="n">
        <v>323</v>
      </c>
      <c r="U156" s="3" t="n">
        <v>77</v>
      </c>
      <c r="V156" s="3" t="n">
        <v>5604</v>
      </c>
      <c r="W156" s="2" t="inlineStr">
        <is>
          <t>Budget reallocation to top-performing Google Shopping ads.</t>
        </is>
      </c>
    </row>
    <row r="157">
      <c r="A157" s="4" t="inlineStr">
        <is>
          <t>2024-06-04</t>
        </is>
      </c>
      <c r="B157" s="4" t="inlineStr">
        <is>
          <t>Tuesday</t>
        </is>
      </c>
      <c r="C157" s="4" t="n">
        <v>23</v>
      </c>
      <c r="D157" s="4" t="n">
        <v>6</v>
      </c>
      <c r="E157" s="4" t="n">
        <v>2</v>
      </c>
      <c r="F157" s="4" t="inlineStr">
        <is>
          <t>Summer</t>
        </is>
      </c>
      <c r="G157" s="4" t="inlineStr">
        <is>
          <t>Optimization</t>
        </is>
      </c>
      <c r="H157" s="5">
        <f>1707.84</f>
        <v/>
      </c>
      <c r="I157" s="5" t="n">
        <v>15808</v>
      </c>
      <c r="J157" s="5" t="n">
        <v>868</v>
      </c>
      <c r="K157" s="5">
        <f>ROUND(C157/I157*100,2)</f>
        <v/>
      </c>
      <c r="L157" s="5" t="n">
        <v>95</v>
      </c>
      <c r="M157" s="5" t="n">
        <v>49</v>
      </c>
      <c r="N157" s="5" t="n">
        <v>144</v>
      </c>
      <c r="O157" s="5">
        <f>ROUND(N157/J157*100,2)</f>
        <v/>
      </c>
      <c r="P157" s="5">
        <f>8207.71</f>
        <v/>
      </c>
      <c r="Q157" s="5">
        <f>ROUND(P157/H157,2)</f>
        <v/>
      </c>
      <c r="R157" s="5">
        <f>IF(K157&gt;0,ROUND(H157/K157,2),999)</f>
        <v/>
      </c>
      <c r="S157" s="5" t="inlineStr">
        <is>
          <t>Snack Box</t>
        </is>
      </c>
      <c r="T157" s="5" t="n">
        <v>420</v>
      </c>
      <c r="U157" s="5" t="n">
        <v>191</v>
      </c>
      <c r="V157" s="5" t="n">
        <v>5439</v>
      </c>
      <c r="W157" s="4" t="inlineStr">
        <is>
          <t>Budget reallocation to top-performing Google Shopping ads.</t>
        </is>
      </c>
    </row>
    <row r="158">
      <c r="A158" s="2" t="inlineStr">
        <is>
          <t>2024-06-05</t>
        </is>
      </c>
      <c r="B158" s="2" t="inlineStr">
        <is>
          <t>Wednesday</t>
        </is>
      </c>
      <c r="C158" s="2" t="n">
        <v>23</v>
      </c>
      <c r="D158" s="2" t="n">
        <v>6</v>
      </c>
      <c r="E158" s="2" t="n">
        <v>2</v>
      </c>
      <c r="F158" s="2" t="inlineStr">
        <is>
          <t>Summer</t>
        </is>
      </c>
      <c r="G158" s="2" t="inlineStr">
        <is>
          <t>Optimization</t>
        </is>
      </c>
      <c r="H158" s="3">
        <f>1867.79</f>
        <v/>
      </c>
      <c r="I158" s="3" t="n">
        <v>24452</v>
      </c>
      <c r="J158" s="3" t="n">
        <v>1359</v>
      </c>
      <c r="K158" s="3">
        <f>ROUND(C158/I158*100,2)</f>
        <v/>
      </c>
      <c r="L158" s="3" t="n">
        <v>123</v>
      </c>
      <c r="M158" s="3" t="n">
        <v>76</v>
      </c>
      <c r="N158" s="3" t="n">
        <v>199</v>
      </c>
      <c r="O158" s="3">
        <f>ROUND(N158/J158*100,2)</f>
        <v/>
      </c>
      <c r="P158" s="3">
        <f>12405.26</f>
        <v/>
      </c>
      <c r="Q158" s="3">
        <f>ROUND(P158/H158,2)</f>
        <v/>
      </c>
      <c r="R158" s="3">
        <f>IF(K158&gt;0,ROUND(H158/K158,2),999)</f>
        <v/>
      </c>
      <c r="S158" s="3" t="inlineStr">
        <is>
          <t>Snack Box</t>
        </is>
      </c>
      <c r="T158" s="3" t="n">
        <v>770</v>
      </c>
      <c r="U158" s="3" t="n">
        <v>189</v>
      </c>
      <c r="V158" s="3" t="n">
        <v>4958</v>
      </c>
      <c r="W158" s="2" t="inlineStr">
        <is>
          <t>Budget reallocation to top-performing Google Shopping ads.</t>
        </is>
      </c>
    </row>
    <row r="159">
      <c r="A159" s="4" t="inlineStr">
        <is>
          <t>2024-06-06</t>
        </is>
      </c>
      <c r="B159" s="4" t="inlineStr">
        <is>
          <t>Thursday</t>
        </is>
      </c>
      <c r="C159" s="4" t="n">
        <v>23</v>
      </c>
      <c r="D159" s="4" t="n">
        <v>6</v>
      </c>
      <c r="E159" s="4" t="n">
        <v>2</v>
      </c>
      <c r="F159" s="4" t="inlineStr">
        <is>
          <t>Summer</t>
        </is>
      </c>
      <c r="G159" s="4" t="inlineStr">
        <is>
          <t>Optimization</t>
        </is>
      </c>
      <c r="H159" s="5">
        <f>1669.25</f>
        <v/>
      </c>
      <c r="I159" s="5" t="n">
        <v>22924</v>
      </c>
      <c r="J159" s="5" t="n">
        <v>1552</v>
      </c>
      <c r="K159" s="5">
        <f>ROUND(C159/I159*100,2)</f>
        <v/>
      </c>
      <c r="L159" s="5" t="n">
        <v>147</v>
      </c>
      <c r="M159" s="5" t="n">
        <v>75</v>
      </c>
      <c r="N159" s="5" t="n">
        <v>222</v>
      </c>
      <c r="O159" s="5">
        <f>ROUND(N159/J159*100,2)</f>
        <v/>
      </c>
      <c r="P159" s="5">
        <f>10031.64</f>
        <v/>
      </c>
      <c r="Q159" s="5">
        <f>ROUND(P159/H159,2)</f>
        <v/>
      </c>
      <c r="R159" s="5">
        <f>IF(K159&gt;0,ROUND(H159/K159,2),999)</f>
        <v/>
      </c>
      <c r="S159" s="5" t="inlineStr">
        <is>
          <t>Pantry</t>
        </is>
      </c>
      <c r="T159" s="5" t="n">
        <v>1119</v>
      </c>
      <c r="U159" s="5" t="n">
        <v>121</v>
      </c>
      <c r="V159" s="5" t="n">
        <v>7864</v>
      </c>
      <c r="W159" s="4" t="inlineStr">
        <is>
          <t>Mobile conversion rate optimization showing 12% improvement.</t>
        </is>
      </c>
    </row>
    <row r="160">
      <c r="A160" s="2" t="inlineStr">
        <is>
          <t>2024-06-07</t>
        </is>
      </c>
      <c r="B160" s="2" t="inlineStr">
        <is>
          <t>Friday</t>
        </is>
      </c>
      <c r="C160" s="2" t="n">
        <v>23</v>
      </c>
      <c r="D160" s="2" t="n">
        <v>6</v>
      </c>
      <c r="E160" s="2" t="n">
        <v>2</v>
      </c>
      <c r="F160" s="2" t="inlineStr">
        <is>
          <t>Summer</t>
        </is>
      </c>
      <c r="G160" s="2" t="inlineStr">
        <is>
          <t>Optimization</t>
        </is>
      </c>
      <c r="H160" s="3">
        <f>1535.81</f>
        <v/>
      </c>
      <c r="I160" s="3" t="n">
        <v>18952</v>
      </c>
      <c r="J160" s="3" t="n">
        <v>399</v>
      </c>
      <c r="K160" s="3">
        <f>ROUND(C160/I160*100,2)</f>
        <v/>
      </c>
      <c r="L160" s="3" t="n">
        <v>40</v>
      </c>
      <c r="M160" s="3" t="n">
        <v>14</v>
      </c>
      <c r="N160" s="3" t="n">
        <v>54</v>
      </c>
      <c r="O160" s="3">
        <f>ROUND(N160/J160*100,2)</f>
        <v/>
      </c>
      <c r="P160" s="3">
        <f>2611.00</f>
        <v/>
      </c>
      <c r="Q160" s="3">
        <f>ROUND(P160/H160,2)</f>
        <v/>
      </c>
      <c r="R160" s="3">
        <f>IF(K160&gt;0,ROUND(H160/K160,2),999)</f>
        <v/>
      </c>
      <c r="S160" s="3" t="inlineStr">
        <is>
          <t>Snack Box</t>
        </is>
      </c>
      <c r="T160" s="3" t="n">
        <v>256</v>
      </c>
      <c r="U160" s="3" t="n">
        <v>21</v>
      </c>
      <c r="V160" s="3" t="n">
        <v>4061</v>
      </c>
      <c r="W160" s="2" t="inlineStr">
        <is>
          <t>Bundle promotion resonating with families segment.</t>
        </is>
      </c>
    </row>
    <row r="161">
      <c r="A161" s="4" t="inlineStr">
        <is>
          <t>2024-06-08</t>
        </is>
      </c>
      <c r="B161" s="4" t="inlineStr">
        <is>
          <t>Saturday</t>
        </is>
      </c>
      <c r="C161" s="4" t="n">
        <v>23</v>
      </c>
      <c r="D161" s="4" t="n">
        <v>6</v>
      </c>
      <c r="E161" s="4" t="n">
        <v>2</v>
      </c>
      <c r="F161" s="4" t="inlineStr">
        <is>
          <t>Summer</t>
        </is>
      </c>
      <c r="G161" s="4" t="inlineStr">
        <is>
          <t>Optimization</t>
        </is>
      </c>
      <c r="H161" s="5">
        <f>1165.01</f>
        <v/>
      </c>
      <c r="I161" s="5" t="n">
        <v>12540</v>
      </c>
      <c r="J161" s="5" t="n">
        <v>745</v>
      </c>
      <c r="K161" s="5">
        <f>ROUND(C161/I161*100,2)</f>
        <v/>
      </c>
      <c r="L161" s="5" t="n">
        <v>73</v>
      </c>
      <c r="M161" s="5" t="n">
        <v>39</v>
      </c>
      <c r="N161" s="5" t="n">
        <v>112</v>
      </c>
      <c r="O161" s="5">
        <f>ROUND(N161/J161*100,2)</f>
        <v/>
      </c>
      <c r="P161" s="5">
        <f>5353.75</f>
        <v/>
      </c>
      <c r="Q161" s="5">
        <f>ROUND(P161/H161,2)</f>
        <v/>
      </c>
      <c r="R161" s="5">
        <f>IF(K161&gt;0,ROUND(H161/K161,2),999)</f>
        <v/>
      </c>
      <c r="S161" s="5" t="inlineStr">
        <is>
          <t>Pantry</t>
        </is>
      </c>
      <c r="T161" s="5" t="n">
        <v>298</v>
      </c>
      <c r="U161" s="5" t="n">
        <v>39</v>
      </c>
      <c r="V161" s="5" t="n">
        <v>4015</v>
      </c>
      <c r="W161" s="4" t="inlineStr">
        <is>
          <t>Subscription retention improving month-over-month.</t>
        </is>
      </c>
    </row>
    <row r="162">
      <c r="A162" s="2" t="inlineStr">
        <is>
          <t>2024-06-09</t>
        </is>
      </c>
      <c r="B162" s="2" t="inlineStr">
        <is>
          <t>Sunday</t>
        </is>
      </c>
      <c r="C162" s="2" t="n">
        <v>23</v>
      </c>
      <c r="D162" s="2" t="n">
        <v>6</v>
      </c>
      <c r="E162" s="2" t="n">
        <v>2</v>
      </c>
      <c r="F162" s="2" t="inlineStr">
        <is>
          <t>Summer</t>
        </is>
      </c>
      <c r="G162" s="2" t="inlineStr">
        <is>
          <t>Optimization</t>
        </is>
      </c>
      <c r="H162" s="3">
        <f>1290.52</f>
        <v/>
      </c>
      <c r="I162" s="3" t="n">
        <v>14141</v>
      </c>
      <c r="J162" s="3" t="n">
        <v>1028</v>
      </c>
      <c r="K162" s="3">
        <f>ROUND(C162/I162*100,2)</f>
        <v/>
      </c>
      <c r="L162" s="3" t="n">
        <v>100</v>
      </c>
      <c r="M162" s="3" t="n">
        <v>38</v>
      </c>
      <c r="N162" s="3" t="n">
        <v>138</v>
      </c>
      <c r="O162" s="3">
        <f>ROUND(N162/J162*100,2)</f>
        <v/>
      </c>
      <c r="P162" s="3">
        <f>7545.63</f>
        <v/>
      </c>
      <c r="Q162" s="3">
        <f>ROUND(P162/H162,2)</f>
        <v/>
      </c>
      <c r="R162" s="3">
        <f>IF(K162&gt;0,ROUND(H162/K162,2),999)</f>
        <v/>
      </c>
      <c r="S162" s="3" t="inlineStr">
        <is>
          <t>Meal Kit</t>
        </is>
      </c>
      <c r="T162" s="3" t="n">
        <v>484</v>
      </c>
      <c r="U162" s="3" t="n">
        <v>202</v>
      </c>
      <c r="V162" s="3" t="n">
        <v>1686</v>
      </c>
      <c r="W162" s="2" t="inlineStr">
        <is>
          <t>Subscription retention improving month-over-month.</t>
        </is>
      </c>
    </row>
    <row r="163">
      <c r="A163" s="4" t="inlineStr">
        <is>
          <t>2024-06-10</t>
        </is>
      </c>
      <c r="B163" s="4" t="inlineStr">
        <is>
          <t>Monday</t>
        </is>
      </c>
      <c r="C163" s="4" t="n">
        <v>24</v>
      </c>
      <c r="D163" s="4" t="n">
        <v>6</v>
      </c>
      <c r="E163" s="4" t="n">
        <v>2</v>
      </c>
      <c r="F163" s="4" t="inlineStr">
        <is>
          <t>Summer</t>
        </is>
      </c>
      <c r="G163" s="4" t="inlineStr">
        <is>
          <t>Optimization</t>
        </is>
      </c>
      <c r="H163" s="5">
        <f>1572.93</f>
        <v/>
      </c>
      <c r="I163" s="5" t="n">
        <v>18068</v>
      </c>
      <c r="J163" s="5" t="n">
        <v>410</v>
      </c>
      <c r="K163" s="5">
        <f>ROUND(C163/I163*100,2)</f>
        <v/>
      </c>
      <c r="L163" s="5" t="n">
        <v>44</v>
      </c>
      <c r="M163" s="5" t="n">
        <v>14</v>
      </c>
      <c r="N163" s="5" t="n">
        <v>58</v>
      </c>
      <c r="O163" s="5">
        <f>ROUND(N163/J163*100,2)</f>
        <v/>
      </c>
      <c r="P163" s="5">
        <f>3165.25</f>
        <v/>
      </c>
      <c r="Q163" s="5">
        <f>ROUND(P163/H163,2)</f>
        <v/>
      </c>
      <c r="R163" s="5">
        <f>IF(K163&gt;0,ROUND(H163/K163,2),999)</f>
        <v/>
      </c>
      <c r="S163" s="5" t="inlineStr">
        <is>
          <t>Meal Kit</t>
        </is>
      </c>
      <c r="T163" s="5" t="n">
        <v>259</v>
      </c>
      <c r="U163" s="5" t="n">
        <v>35</v>
      </c>
      <c r="V163" s="5" t="n">
        <v>2970</v>
      </c>
      <c r="W163" s="4" t="inlineStr">
        <is>
          <t>Test of lifestyle content format underperforming, discontinued.</t>
        </is>
      </c>
    </row>
    <row r="164">
      <c r="A164" s="2" t="inlineStr">
        <is>
          <t>2024-06-11</t>
        </is>
      </c>
      <c r="B164" s="2" t="inlineStr">
        <is>
          <t>Tuesday</t>
        </is>
      </c>
      <c r="C164" s="2" t="n">
        <v>24</v>
      </c>
      <c r="D164" s="2" t="n">
        <v>6</v>
      </c>
      <c r="E164" s="2" t="n">
        <v>2</v>
      </c>
      <c r="F164" s="2" t="inlineStr">
        <is>
          <t>Summer</t>
        </is>
      </c>
      <c r="G164" s="2" t="inlineStr">
        <is>
          <t>Optimization</t>
        </is>
      </c>
      <c r="H164" s="3">
        <f>1574.80</f>
        <v/>
      </c>
      <c r="I164" s="3" t="n">
        <v>20262</v>
      </c>
      <c r="J164" s="3" t="n">
        <v>880</v>
      </c>
      <c r="K164" s="3">
        <f>ROUND(C164/I164*100,2)</f>
        <v/>
      </c>
      <c r="L164" s="3" t="n">
        <v>56</v>
      </c>
      <c r="M164" s="3" t="n">
        <v>30</v>
      </c>
      <c r="N164" s="3" t="n">
        <v>86</v>
      </c>
      <c r="O164" s="3">
        <f>ROUND(N164/J164*100,2)</f>
        <v/>
      </c>
      <c r="P164" s="3">
        <f>5462.54</f>
        <v/>
      </c>
      <c r="Q164" s="3">
        <f>ROUND(P164/H164,2)</f>
        <v/>
      </c>
      <c r="R164" s="3">
        <f>IF(K164&gt;0,ROUND(H164/K164,2),999)</f>
        <v/>
      </c>
      <c r="S164" s="3" t="inlineStr">
        <is>
          <t>Pantry</t>
        </is>
      </c>
      <c r="T164" s="3" t="n">
        <v>335</v>
      </c>
      <c r="U164" s="3" t="n">
        <v>117</v>
      </c>
      <c r="V164" s="3" t="n">
        <v>2784</v>
      </c>
      <c r="W164" s="2" t="inlineStr">
        <is>
          <t>New TikTok creative launched, high initial impression share.</t>
        </is>
      </c>
    </row>
    <row r="165">
      <c r="A165" s="4" t="inlineStr">
        <is>
          <t>2024-06-12</t>
        </is>
      </c>
      <c r="B165" s="4" t="inlineStr">
        <is>
          <t>Wednesday</t>
        </is>
      </c>
      <c r="C165" s="4" t="n">
        <v>24</v>
      </c>
      <c r="D165" s="4" t="n">
        <v>6</v>
      </c>
      <c r="E165" s="4" t="n">
        <v>2</v>
      </c>
      <c r="F165" s="4" t="inlineStr">
        <is>
          <t>Summer</t>
        </is>
      </c>
      <c r="G165" s="4" t="inlineStr">
        <is>
          <t>Optimization</t>
        </is>
      </c>
      <c r="H165" s="5">
        <f>1693.46</f>
        <v/>
      </c>
      <c r="I165" s="5" t="n">
        <v>14933</v>
      </c>
      <c r="J165" s="5" t="n">
        <v>850</v>
      </c>
      <c r="K165" s="5">
        <f>ROUND(C165/I165*100,2)</f>
        <v/>
      </c>
      <c r="L165" s="5" t="n">
        <v>86</v>
      </c>
      <c r="M165" s="5" t="n">
        <v>43</v>
      </c>
      <c r="N165" s="5" t="n">
        <v>129</v>
      </c>
      <c r="O165" s="5">
        <f>ROUND(N165/J165*100,2)</f>
        <v/>
      </c>
      <c r="P165" s="5">
        <f>5876.51</f>
        <v/>
      </c>
      <c r="Q165" s="5">
        <f>ROUND(P165/H165,2)</f>
        <v/>
      </c>
      <c r="R165" s="5">
        <f>IF(K165&gt;0,ROUND(H165/K165,2),999)</f>
        <v/>
      </c>
      <c r="S165" s="5" t="inlineStr">
        <is>
          <t>Snack Box</t>
        </is>
      </c>
      <c r="T165" s="5" t="n">
        <v>420</v>
      </c>
      <c r="U165" s="5" t="n">
        <v>82</v>
      </c>
      <c r="V165" s="5" t="n">
        <v>4990</v>
      </c>
      <c r="W165" s="4" t="inlineStr">
        <is>
          <t>Weather-dependent category performance noted.</t>
        </is>
      </c>
    </row>
    <row r="166">
      <c r="A166" s="2" t="inlineStr">
        <is>
          <t>2024-06-13</t>
        </is>
      </c>
      <c r="B166" s="2" t="inlineStr">
        <is>
          <t>Thursday</t>
        </is>
      </c>
      <c r="C166" s="2" t="n">
        <v>24</v>
      </c>
      <c r="D166" s="2" t="n">
        <v>6</v>
      </c>
      <c r="E166" s="2" t="n">
        <v>2</v>
      </c>
      <c r="F166" s="2" t="inlineStr">
        <is>
          <t>Summer</t>
        </is>
      </c>
      <c r="G166" s="2" t="inlineStr">
        <is>
          <t>Optimization</t>
        </is>
      </c>
      <c r="H166" s="3">
        <f>1791.05</f>
        <v/>
      </c>
      <c r="I166" s="3" t="n">
        <v>21946</v>
      </c>
      <c r="J166" s="3" t="n">
        <v>1122</v>
      </c>
      <c r="K166" s="3">
        <f>ROUND(C166/I166*100,2)</f>
        <v/>
      </c>
      <c r="L166" s="3" t="n">
        <v>105</v>
      </c>
      <c r="M166" s="3" t="n">
        <v>43</v>
      </c>
      <c r="N166" s="3" t="n">
        <v>148</v>
      </c>
      <c r="O166" s="3">
        <f>ROUND(N166/J166*100,2)</f>
        <v/>
      </c>
      <c r="P166" s="3">
        <f>9302.85</f>
        <v/>
      </c>
      <c r="Q166" s="3">
        <f>ROUND(P166/H166,2)</f>
        <v/>
      </c>
      <c r="R166" s="3">
        <f>IF(K166&gt;0,ROUND(H166/K166,2),999)</f>
        <v/>
      </c>
      <c r="S166" s="3" t="inlineStr">
        <is>
          <t>Meal Kit</t>
        </is>
      </c>
      <c r="T166" s="3" t="n">
        <v>467</v>
      </c>
      <c r="U166" s="3" t="n">
        <v>148</v>
      </c>
      <c r="V166" s="3" t="n">
        <v>7435</v>
      </c>
      <c r="W166" s="2" t="inlineStr">
        <is>
          <t>YouTube pre-roll tested with product demo creatives.</t>
        </is>
      </c>
    </row>
    <row r="167">
      <c r="A167" s="4" t="inlineStr">
        <is>
          <t>2024-06-14</t>
        </is>
      </c>
      <c r="B167" s="4" t="inlineStr">
        <is>
          <t>Friday</t>
        </is>
      </c>
      <c r="C167" s="4" t="n">
        <v>24</v>
      </c>
      <c r="D167" s="4" t="n">
        <v>6</v>
      </c>
      <c r="E167" s="4" t="n">
        <v>2</v>
      </c>
      <c r="F167" s="4" t="inlineStr">
        <is>
          <t>Summer</t>
        </is>
      </c>
      <c r="G167" s="4" t="inlineStr">
        <is>
          <t>Optimization</t>
        </is>
      </c>
      <c r="H167" s="5">
        <f>1480.19</f>
        <v/>
      </c>
      <c r="I167" s="5" t="n">
        <v>15026</v>
      </c>
      <c r="J167" s="5" t="n">
        <v>364</v>
      </c>
      <c r="K167" s="5">
        <f>ROUND(C167/I167*100,2)</f>
        <v/>
      </c>
      <c r="L167" s="5" t="n">
        <v>39</v>
      </c>
      <c r="M167" s="5" t="n">
        <v>11</v>
      </c>
      <c r="N167" s="5" t="n">
        <v>50</v>
      </c>
      <c r="O167" s="5">
        <f>ROUND(N167/J167*100,2)</f>
        <v/>
      </c>
      <c r="P167" s="5">
        <f>2402.05</f>
        <v/>
      </c>
      <c r="Q167" s="5">
        <f>ROUND(P167/H167,2)</f>
        <v/>
      </c>
      <c r="R167" s="5">
        <f>IF(K167&gt;0,ROUND(H167/K167,2),999)</f>
        <v/>
      </c>
      <c r="S167" s="5" t="inlineStr">
        <is>
          <t>Snack Box</t>
        </is>
      </c>
      <c r="T167" s="5" t="n">
        <v>208</v>
      </c>
      <c r="U167" s="5" t="n">
        <v>83</v>
      </c>
      <c r="V167" s="5" t="n">
        <v>1782</v>
      </c>
      <c r="W167" s="4" t="inlineStr">
        <is>
          <t>New customer acquisition cost declining with better audience targeting.</t>
        </is>
      </c>
    </row>
    <row r="168">
      <c r="A168" s="2" t="inlineStr">
        <is>
          <t>2024-06-15</t>
        </is>
      </c>
      <c r="B168" s="2" t="inlineStr">
        <is>
          <t>Saturday</t>
        </is>
      </c>
      <c r="C168" s="2" t="n">
        <v>24</v>
      </c>
      <c r="D168" s="2" t="n">
        <v>6</v>
      </c>
      <c r="E168" s="2" t="n">
        <v>2</v>
      </c>
      <c r="F168" s="2" t="inlineStr">
        <is>
          <t>Summer</t>
        </is>
      </c>
      <c r="G168" s="2" t="inlineStr">
        <is>
          <t>Optimization</t>
        </is>
      </c>
      <c r="H168" s="3">
        <f>1093.77</f>
        <v/>
      </c>
      <c r="I168" s="3" t="n">
        <v>15037</v>
      </c>
      <c r="J168" s="3" t="n">
        <v>477</v>
      </c>
      <c r="K168" s="3">
        <f>ROUND(C168/I168*100,2)</f>
        <v/>
      </c>
      <c r="L168" s="3" t="n">
        <v>34</v>
      </c>
      <c r="M168" s="3" t="n">
        <v>20</v>
      </c>
      <c r="N168" s="3" t="n">
        <v>54</v>
      </c>
      <c r="O168" s="3">
        <f>ROUND(N168/J168*100,2)</f>
        <v/>
      </c>
      <c r="P168" s="3">
        <f>3181.86</f>
        <v/>
      </c>
      <c r="Q168" s="3">
        <f>ROUND(P168/H168,2)</f>
        <v/>
      </c>
      <c r="R168" s="3">
        <f>IF(K168&gt;0,ROUND(H168/K168,2),999)</f>
        <v/>
      </c>
      <c r="S168" s="3" t="inlineStr">
        <is>
          <t>Meal Kit</t>
        </is>
      </c>
      <c r="T168" s="3" t="n">
        <v>355</v>
      </c>
      <c r="U168" s="3" t="n">
        <v>73</v>
      </c>
      <c r="V168" s="3" t="n">
        <v>2078</v>
      </c>
      <c r="W168" s="2" t="inlineStr">
        <is>
          <t>New customer acquisition cost declining with better audience targeting.</t>
        </is>
      </c>
    </row>
    <row r="169">
      <c r="A169" s="4" t="inlineStr">
        <is>
          <t>2024-06-16</t>
        </is>
      </c>
      <c r="B169" s="4" t="inlineStr">
        <is>
          <t>Sunday</t>
        </is>
      </c>
      <c r="C169" s="4" t="n">
        <v>24</v>
      </c>
      <c r="D169" s="4" t="n">
        <v>6</v>
      </c>
      <c r="E169" s="4" t="n">
        <v>2</v>
      </c>
      <c r="F169" s="4" t="inlineStr">
        <is>
          <t>Summer</t>
        </is>
      </c>
      <c r="G169" s="4" t="inlineStr">
        <is>
          <t>Optimization</t>
        </is>
      </c>
      <c r="H169" s="5">
        <f>1044.72</f>
        <v/>
      </c>
      <c r="I169" s="5" t="n">
        <v>13378</v>
      </c>
      <c r="J169" s="5" t="n">
        <v>414</v>
      </c>
      <c r="K169" s="5">
        <f>ROUND(C169/I169*100,2)</f>
        <v/>
      </c>
      <c r="L169" s="5" t="n">
        <v>40</v>
      </c>
      <c r="M169" s="5" t="n">
        <v>18</v>
      </c>
      <c r="N169" s="5" t="n">
        <v>58</v>
      </c>
      <c r="O169" s="5">
        <f>ROUND(N169/J169*100,2)</f>
        <v/>
      </c>
      <c r="P169" s="5">
        <f>3724.60</f>
        <v/>
      </c>
      <c r="Q169" s="5">
        <f>ROUND(P169/H169,2)</f>
        <v/>
      </c>
      <c r="R169" s="5">
        <f>IF(K169&gt;0,ROUND(H169/K169,2),999)</f>
        <v/>
      </c>
      <c r="S169" s="5" t="inlineStr">
        <is>
          <t>Meal Kit</t>
        </is>
      </c>
      <c r="T169" s="5" t="n">
        <v>271</v>
      </c>
      <c r="U169" s="5" t="n">
        <v>62</v>
      </c>
      <c r="V169" s="5" t="n">
        <v>3100</v>
      </c>
      <c r="W169" s="4" t="inlineStr">
        <is>
          <t>Subscription retention improving month-over-month.</t>
        </is>
      </c>
    </row>
    <row r="170">
      <c r="A170" s="2" t="inlineStr">
        <is>
          <t>2024-06-17</t>
        </is>
      </c>
      <c r="B170" s="2" t="inlineStr">
        <is>
          <t>Monday</t>
        </is>
      </c>
      <c r="C170" s="2" t="n">
        <v>25</v>
      </c>
      <c r="D170" s="2" t="n">
        <v>6</v>
      </c>
      <c r="E170" s="2" t="n">
        <v>2</v>
      </c>
      <c r="F170" s="2" t="inlineStr">
        <is>
          <t>Summer</t>
        </is>
      </c>
      <c r="G170" s="2" t="inlineStr">
        <is>
          <t>Optimization</t>
        </is>
      </c>
      <c r="H170" s="3">
        <f>1545.98</f>
        <v/>
      </c>
      <c r="I170" s="3" t="n">
        <v>20542</v>
      </c>
      <c r="J170" s="3" t="n">
        <v>528</v>
      </c>
      <c r="K170" s="3">
        <f>ROUND(C170/I170*100,2)</f>
        <v/>
      </c>
      <c r="L170" s="3" t="n">
        <v>50</v>
      </c>
      <c r="M170" s="3" t="n">
        <v>14</v>
      </c>
      <c r="N170" s="3" t="n">
        <v>64</v>
      </c>
      <c r="O170" s="3">
        <f>ROUND(N170/J170*100,2)</f>
        <v/>
      </c>
      <c r="P170" s="3">
        <f>3651.02</f>
        <v/>
      </c>
      <c r="Q170" s="3">
        <f>ROUND(P170/H170,2)</f>
        <v/>
      </c>
      <c r="R170" s="3">
        <f>IF(K170&gt;0,ROUND(H170/K170,2),999)</f>
        <v/>
      </c>
      <c r="S170" s="3" t="inlineStr">
        <is>
          <t>Pantry</t>
        </is>
      </c>
      <c r="T170" s="3" t="n">
        <v>191</v>
      </c>
      <c r="U170" s="3" t="n">
        <v>112</v>
      </c>
      <c r="V170" s="3" t="n">
        <v>6710</v>
      </c>
      <c r="W170" s="2" t="inlineStr">
        <is>
          <t>New customer acquisition cost declining with better audience targeting.</t>
        </is>
      </c>
    </row>
    <row r="171">
      <c r="A171" s="4" t="inlineStr">
        <is>
          <t>2024-06-18</t>
        </is>
      </c>
      <c r="B171" s="4" t="inlineStr">
        <is>
          <t>Tuesday</t>
        </is>
      </c>
      <c r="C171" s="4" t="n">
        <v>25</v>
      </c>
      <c r="D171" s="4" t="n">
        <v>6</v>
      </c>
      <c r="E171" s="4" t="n">
        <v>2</v>
      </c>
      <c r="F171" s="4" t="inlineStr">
        <is>
          <t>Summer</t>
        </is>
      </c>
      <c r="G171" s="4" t="inlineStr">
        <is>
          <t>Optimization</t>
        </is>
      </c>
      <c r="H171" s="5">
        <f>1730.02</f>
        <v/>
      </c>
      <c r="I171" s="5" t="n">
        <v>22529</v>
      </c>
      <c r="J171" s="5" t="n">
        <v>578</v>
      </c>
      <c r="K171" s="5">
        <f>ROUND(C171/I171*100,2)</f>
        <v/>
      </c>
      <c r="L171" s="5" t="n">
        <v>62</v>
      </c>
      <c r="M171" s="5" t="n">
        <v>16</v>
      </c>
      <c r="N171" s="5" t="n">
        <v>78</v>
      </c>
      <c r="O171" s="5">
        <f>ROUND(N171/J171*100,2)</f>
        <v/>
      </c>
      <c r="P171" s="5">
        <f>3741.55</f>
        <v/>
      </c>
      <c r="Q171" s="5">
        <f>ROUND(P171/H171,2)</f>
        <v/>
      </c>
      <c r="R171" s="5">
        <f>IF(K171&gt;0,ROUND(H171/K171,2),999)</f>
        <v/>
      </c>
      <c r="S171" s="5" t="inlineStr">
        <is>
          <t>Meal Kit</t>
        </is>
      </c>
      <c r="T171" s="5" t="n">
        <v>346</v>
      </c>
      <c r="U171" s="5" t="n">
        <v>42</v>
      </c>
      <c r="V171" s="5" t="n">
        <v>2953</v>
      </c>
      <c r="W171" s="4" t="inlineStr">
        <is>
          <t>Weather-dependent category performance noted.</t>
        </is>
      </c>
    </row>
    <row r="172">
      <c r="A172" s="2" t="inlineStr">
        <is>
          <t>2024-06-19</t>
        </is>
      </c>
      <c r="B172" s="2" t="inlineStr">
        <is>
          <t>Wednesday</t>
        </is>
      </c>
      <c r="C172" s="2" t="n">
        <v>25</v>
      </c>
      <c r="D172" s="2" t="n">
        <v>6</v>
      </c>
      <c r="E172" s="2" t="n">
        <v>2</v>
      </c>
      <c r="F172" s="2" t="inlineStr">
        <is>
          <t>Summer</t>
        </is>
      </c>
      <c r="G172" s="2" t="inlineStr">
        <is>
          <t>Optimization</t>
        </is>
      </c>
      <c r="H172" s="3">
        <f>1867.15</f>
        <v/>
      </c>
      <c r="I172" s="3" t="n">
        <v>16033</v>
      </c>
      <c r="J172" s="3" t="n">
        <v>1159</v>
      </c>
      <c r="K172" s="3">
        <f>ROUND(C172/I172*100,2)</f>
        <v/>
      </c>
      <c r="L172" s="3" t="n">
        <v>99</v>
      </c>
      <c r="M172" s="3" t="n">
        <v>60</v>
      </c>
      <c r="N172" s="3" t="n">
        <v>159</v>
      </c>
      <c r="O172" s="3">
        <f>ROUND(N172/J172*100,2)</f>
        <v/>
      </c>
      <c r="P172" s="3">
        <f>9785.94</f>
        <v/>
      </c>
      <c r="Q172" s="3">
        <f>ROUND(P172/H172,2)</f>
        <v/>
      </c>
      <c r="R172" s="3">
        <f>IF(K172&gt;0,ROUND(H172/K172,2),999)</f>
        <v/>
      </c>
      <c r="S172" s="3" t="inlineStr">
        <is>
          <t>Pantry</t>
        </is>
      </c>
      <c r="T172" s="3" t="n">
        <v>873</v>
      </c>
      <c r="U172" s="3" t="n">
        <v>282</v>
      </c>
      <c r="V172" s="3" t="n">
        <v>6146</v>
      </c>
      <c r="W172" s="2" t="inlineStr">
        <is>
          <t>Subscription retention improving month-over-month.</t>
        </is>
      </c>
    </row>
    <row r="173">
      <c r="A173" s="4" t="inlineStr">
        <is>
          <t>2024-06-20</t>
        </is>
      </c>
      <c r="B173" s="4" t="inlineStr">
        <is>
          <t>Thursday</t>
        </is>
      </c>
      <c r="C173" s="4" t="n">
        <v>25</v>
      </c>
      <c r="D173" s="4" t="n">
        <v>6</v>
      </c>
      <c r="E173" s="4" t="n">
        <v>2</v>
      </c>
      <c r="F173" s="4" t="inlineStr">
        <is>
          <t>Summer</t>
        </is>
      </c>
      <c r="G173" s="4" t="inlineStr">
        <is>
          <t>Optimization</t>
        </is>
      </c>
      <c r="H173" s="5">
        <f>1880.45</f>
        <v/>
      </c>
      <c r="I173" s="5" t="n">
        <v>16118</v>
      </c>
      <c r="J173" s="5" t="n">
        <v>733</v>
      </c>
      <c r="K173" s="5">
        <f>ROUND(C173/I173*100,2)</f>
        <v/>
      </c>
      <c r="L173" s="5" t="n">
        <v>73</v>
      </c>
      <c r="M173" s="5" t="n">
        <v>27</v>
      </c>
      <c r="N173" s="5" t="n">
        <v>100</v>
      </c>
      <c r="O173" s="5">
        <f>ROUND(N173/J173*100,2)</f>
        <v/>
      </c>
      <c r="P173" s="5">
        <f>5569.94</f>
        <v/>
      </c>
      <c r="Q173" s="5">
        <f>ROUND(P173/H173,2)</f>
        <v/>
      </c>
      <c r="R173" s="5">
        <f>IF(K173&gt;0,ROUND(H173/K173,2),999)</f>
        <v/>
      </c>
      <c r="S173" s="5" t="inlineStr">
        <is>
          <t>Snack Box</t>
        </is>
      </c>
      <c r="T173" s="5" t="n">
        <v>366</v>
      </c>
      <c r="U173" s="5" t="n">
        <v>101</v>
      </c>
      <c r="V173" s="5" t="n">
        <v>4280</v>
      </c>
      <c r="W173" s="4" t="inlineStr">
        <is>
          <t>Email list fatigue evident, segment optimization recommended.</t>
        </is>
      </c>
    </row>
    <row r="174">
      <c r="A174" s="2" t="inlineStr">
        <is>
          <t>2024-06-21</t>
        </is>
      </c>
      <c r="B174" s="2" t="inlineStr">
        <is>
          <t>Friday</t>
        </is>
      </c>
      <c r="C174" s="2" t="n">
        <v>25</v>
      </c>
      <c r="D174" s="2" t="n">
        <v>6</v>
      </c>
      <c r="E174" s="2" t="n">
        <v>2</v>
      </c>
      <c r="F174" s="2" t="inlineStr">
        <is>
          <t>Summer</t>
        </is>
      </c>
      <c r="G174" s="2" t="inlineStr">
        <is>
          <t>Optimization</t>
        </is>
      </c>
      <c r="H174" s="3">
        <f>1844.48</f>
        <v/>
      </c>
      <c r="I174" s="3" t="n">
        <v>20735</v>
      </c>
      <c r="J174" s="3" t="n">
        <v>1418</v>
      </c>
      <c r="K174" s="3">
        <f>ROUND(C174/I174*100,2)</f>
        <v/>
      </c>
      <c r="L174" s="3" t="n">
        <v>133</v>
      </c>
      <c r="M174" s="3" t="n">
        <v>44</v>
      </c>
      <c r="N174" s="3" t="n">
        <v>177</v>
      </c>
      <c r="O174" s="3">
        <f>ROUND(N174/J174*100,2)</f>
        <v/>
      </c>
      <c r="P174" s="3">
        <f>9130.79</f>
        <v/>
      </c>
      <c r="Q174" s="3">
        <f>ROUND(P174/H174,2)</f>
        <v/>
      </c>
      <c r="R174" s="3">
        <f>IF(K174&gt;0,ROUND(H174/K174,2),999)</f>
        <v/>
      </c>
      <c r="S174" s="3" t="inlineStr">
        <is>
          <t>Meal Kit</t>
        </is>
      </c>
      <c r="T174" s="3" t="n">
        <v>828</v>
      </c>
      <c r="U174" s="3" t="n">
        <v>171</v>
      </c>
      <c r="V174" s="3" t="n">
        <v>4972</v>
      </c>
      <c r="W174" s="2" t="inlineStr">
        <is>
          <t>Competitor promotion detected, reduced CPA achieved through optimization.</t>
        </is>
      </c>
    </row>
    <row r="175">
      <c r="A175" s="4" t="inlineStr">
        <is>
          <t>2024-06-22</t>
        </is>
      </c>
      <c r="B175" s="4" t="inlineStr">
        <is>
          <t>Saturday</t>
        </is>
      </c>
      <c r="C175" s="4" t="n">
        <v>25</v>
      </c>
      <c r="D175" s="4" t="n">
        <v>6</v>
      </c>
      <c r="E175" s="4" t="n">
        <v>2</v>
      </c>
      <c r="F175" s="4" t="inlineStr">
        <is>
          <t>Summer</t>
        </is>
      </c>
      <c r="G175" s="4" t="inlineStr">
        <is>
          <t>Optimization</t>
        </is>
      </c>
      <c r="H175" s="5">
        <f>1133.15</f>
        <v/>
      </c>
      <c r="I175" s="5" t="n">
        <v>15704</v>
      </c>
      <c r="J175" s="5" t="n">
        <v>531</v>
      </c>
      <c r="K175" s="5">
        <f>ROUND(C175/I175*100,2)</f>
        <v/>
      </c>
      <c r="L175" s="5" t="n">
        <v>38</v>
      </c>
      <c r="M175" s="5" t="n">
        <v>31</v>
      </c>
      <c r="N175" s="5" t="n">
        <v>69</v>
      </c>
      <c r="O175" s="5">
        <f>ROUND(N175/J175*100,2)</f>
        <v/>
      </c>
      <c r="P175" s="5">
        <f>3269.43</f>
        <v/>
      </c>
      <c r="Q175" s="5">
        <f>ROUND(P175/H175,2)</f>
        <v/>
      </c>
      <c r="R175" s="5">
        <f>IF(K175&gt;0,ROUND(H175/K175,2),999)</f>
        <v/>
      </c>
      <c r="S175" s="5" t="inlineStr">
        <is>
          <t>Meal Kit</t>
        </is>
      </c>
      <c r="T175" s="5" t="n">
        <v>414</v>
      </c>
      <c r="U175" s="5" t="n">
        <v>126</v>
      </c>
      <c r="V175" s="5" t="n">
        <v>1587</v>
      </c>
      <c r="W175" s="4" t="inlineStr">
        <is>
          <t>Meta lookalike audience expansion successful.</t>
        </is>
      </c>
    </row>
    <row r="176">
      <c r="A176" s="2" t="inlineStr">
        <is>
          <t>2024-06-23</t>
        </is>
      </c>
      <c r="B176" s="2" t="inlineStr">
        <is>
          <t>Sunday</t>
        </is>
      </c>
      <c r="C176" s="2" t="n">
        <v>25</v>
      </c>
      <c r="D176" s="2" t="n">
        <v>6</v>
      </c>
      <c r="E176" s="2" t="n">
        <v>2</v>
      </c>
      <c r="F176" s="2" t="inlineStr">
        <is>
          <t>Summer</t>
        </is>
      </c>
      <c r="G176" s="2" t="inlineStr">
        <is>
          <t>Optimization</t>
        </is>
      </c>
      <c r="H176" s="3">
        <f>1299.85</f>
        <v/>
      </c>
      <c r="I176" s="3" t="n">
        <v>11072</v>
      </c>
      <c r="J176" s="3" t="n">
        <v>663</v>
      </c>
      <c r="K176" s="3">
        <f>ROUND(C176/I176*100,2)</f>
        <v/>
      </c>
      <c r="L176" s="3" t="n">
        <v>50</v>
      </c>
      <c r="M176" s="3" t="n">
        <v>29</v>
      </c>
      <c r="N176" s="3" t="n">
        <v>79</v>
      </c>
      <c r="O176" s="3">
        <f>ROUND(N176/J176*100,2)</f>
        <v/>
      </c>
      <c r="P176" s="3">
        <f>3702.47</f>
        <v/>
      </c>
      <c r="Q176" s="3">
        <f>ROUND(P176/H176,2)</f>
        <v/>
      </c>
      <c r="R176" s="3">
        <f>IF(K176&gt;0,ROUND(H176/K176,2),999)</f>
        <v/>
      </c>
      <c r="S176" s="3" t="inlineStr">
        <is>
          <t>Pantry</t>
        </is>
      </c>
      <c r="T176" s="3" t="n">
        <v>476</v>
      </c>
      <c r="U176" s="3" t="n">
        <v>140</v>
      </c>
      <c r="V176" s="3" t="n">
        <v>2300</v>
      </c>
      <c r="W176" s="2" t="inlineStr">
        <is>
          <t>Mobile conversion rate optimization showing 12% improvement.</t>
        </is>
      </c>
    </row>
    <row r="177">
      <c r="A177" s="4" t="inlineStr">
        <is>
          <t>2024-06-24</t>
        </is>
      </c>
      <c r="B177" s="4" t="inlineStr">
        <is>
          <t>Monday</t>
        </is>
      </c>
      <c r="C177" s="4" t="n">
        <v>26</v>
      </c>
      <c r="D177" s="4" t="n">
        <v>6</v>
      </c>
      <c r="E177" s="4" t="n">
        <v>2</v>
      </c>
      <c r="F177" s="4" t="inlineStr">
        <is>
          <t>Summer</t>
        </is>
      </c>
      <c r="G177" s="4" t="inlineStr">
        <is>
          <t>Optimization</t>
        </is>
      </c>
      <c r="H177" s="5">
        <f>1534.26</f>
        <v/>
      </c>
      <c r="I177" s="5" t="n">
        <v>14690</v>
      </c>
      <c r="J177" s="5" t="n">
        <v>713</v>
      </c>
      <c r="K177" s="5">
        <f>ROUND(C177/I177*100,2)</f>
        <v/>
      </c>
      <c r="L177" s="5" t="n">
        <v>45</v>
      </c>
      <c r="M177" s="5" t="n">
        <v>14</v>
      </c>
      <c r="N177" s="5" t="n">
        <v>59</v>
      </c>
      <c r="O177" s="5">
        <f>ROUND(N177/J177*100,2)</f>
        <v/>
      </c>
      <c r="P177" s="5">
        <f>3597.00</f>
        <v/>
      </c>
      <c r="Q177" s="5">
        <f>ROUND(P177/H177,2)</f>
        <v/>
      </c>
      <c r="R177" s="5">
        <f>IF(K177&gt;0,ROUND(H177/K177,2),999)</f>
        <v/>
      </c>
      <c r="S177" s="5" t="inlineStr">
        <is>
          <t>Snack Box</t>
        </is>
      </c>
      <c r="T177" s="5" t="n">
        <v>408</v>
      </c>
      <c r="U177" s="5" t="n">
        <v>89</v>
      </c>
      <c r="V177" s="5" t="n">
        <v>5493</v>
      </c>
      <c r="W177" s="4" t="inlineStr">
        <is>
          <t>New TikTok creative launched, high initial impression share.</t>
        </is>
      </c>
    </row>
    <row r="178">
      <c r="A178" s="2" t="inlineStr">
        <is>
          <t>2024-06-25</t>
        </is>
      </c>
      <c r="B178" s="2" t="inlineStr">
        <is>
          <t>Tuesday</t>
        </is>
      </c>
      <c r="C178" s="2" t="n">
        <v>26</v>
      </c>
      <c r="D178" s="2" t="n">
        <v>6</v>
      </c>
      <c r="E178" s="2" t="n">
        <v>2</v>
      </c>
      <c r="F178" s="2" t="inlineStr">
        <is>
          <t>Summer</t>
        </is>
      </c>
      <c r="G178" s="2" t="inlineStr">
        <is>
          <t>Optimization</t>
        </is>
      </c>
      <c r="H178" s="3">
        <f>1663.81</f>
        <v/>
      </c>
      <c r="I178" s="3" t="n">
        <v>18871</v>
      </c>
      <c r="J178" s="3" t="n">
        <v>868</v>
      </c>
      <c r="K178" s="3">
        <f>ROUND(C178/I178*100,2)</f>
        <v/>
      </c>
      <c r="L178" s="3" t="n">
        <v>65</v>
      </c>
      <c r="M178" s="3" t="n">
        <v>37</v>
      </c>
      <c r="N178" s="3" t="n">
        <v>102</v>
      </c>
      <c r="O178" s="3">
        <f>ROUND(N178/J178*100,2)</f>
        <v/>
      </c>
      <c r="P178" s="3">
        <f>4738.54</f>
        <v/>
      </c>
      <c r="Q178" s="3">
        <f>ROUND(P178/H178,2)</f>
        <v/>
      </c>
      <c r="R178" s="3">
        <f>IF(K178&gt;0,ROUND(H178/K178,2),999)</f>
        <v/>
      </c>
      <c r="S178" s="3" t="inlineStr">
        <is>
          <t>Pantry</t>
        </is>
      </c>
      <c r="T178" s="3" t="n">
        <v>614</v>
      </c>
      <c r="U178" s="3" t="n">
        <v>154</v>
      </c>
      <c r="V178" s="3" t="n">
        <v>5519</v>
      </c>
      <c r="W178" s="2" t="inlineStr">
        <is>
          <t>Meta lookalike audience expansion successful.</t>
        </is>
      </c>
    </row>
    <row r="179">
      <c r="A179" s="4" t="inlineStr">
        <is>
          <t>2024-06-26</t>
        </is>
      </c>
      <c r="B179" s="4" t="inlineStr">
        <is>
          <t>Wednesday</t>
        </is>
      </c>
      <c r="C179" s="4" t="n">
        <v>26</v>
      </c>
      <c r="D179" s="4" t="n">
        <v>6</v>
      </c>
      <c r="E179" s="4" t="n">
        <v>2</v>
      </c>
      <c r="F179" s="4" t="inlineStr">
        <is>
          <t>Summer</t>
        </is>
      </c>
      <c r="G179" s="4" t="inlineStr">
        <is>
          <t>Optimization</t>
        </is>
      </c>
      <c r="H179" s="5">
        <f>1468.54</f>
        <v/>
      </c>
      <c r="I179" s="5" t="n">
        <v>18236</v>
      </c>
      <c r="J179" s="5" t="n">
        <v>839</v>
      </c>
      <c r="K179" s="5">
        <f>ROUND(C179/I179*100,2)</f>
        <v/>
      </c>
      <c r="L179" s="5" t="n">
        <v>92</v>
      </c>
      <c r="M179" s="5" t="n">
        <v>25</v>
      </c>
      <c r="N179" s="5" t="n">
        <v>117</v>
      </c>
      <c r="O179" s="5">
        <f>ROUND(N179/J179*100,2)</f>
        <v/>
      </c>
      <c r="P179" s="5">
        <f>7325.82</f>
        <v/>
      </c>
      <c r="Q179" s="5">
        <f>ROUND(P179/H179,2)</f>
        <v/>
      </c>
      <c r="R179" s="5">
        <f>IF(K179&gt;0,ROUND(H179/K179,2),999)</f>
        <v/>
      </c>
      <c r="S179" s="5" t="inlineStr">
        <is>
          <t>Meal Kit</t>
        </is>
      </c>
      <c r="T179" s="5" t="n">
        <v>315</v>
      </c>
      <c r="U179" s="5" t="n">
        <v>102</v>
      </c>
      <c r="V179" s="5" t="n">
        <v>3455</v>
      </c>
      <c r="W179" s="4" t="inlineStr">
        <is>
          <t>Bundle promotion resonating with families segment.</t>
        </is>
      </c>
    </row>
    <row r="180">
      <c r="A180" s="2" t="inlineStr">
        <is>
          <t>2024-06-27</t>
        </is>
      </c>
      <c r="B180" s="2" t="inlineStr">
        <is>
          <t>Thursday</t>
        </is>
      </c>
      <c r="C180" s="2" t="n">
        <v>26</v>
      </c>
      <c r="D180" s="2" t="n">
        <v>6</v>
      </c>
      <c r="E180" s="2" t="n">
        <v>2</v>
      </c>
      <c r="F180" s="2" t="inlineStr">
        <is>
          <t>Summer</t>
        </is>
      </c>
      <c r="G180" s="2" t="inlineStr">
        <is>
          <t>Optimization</t>
        </is>
      </c>
      <c r="H180" s="3">
        <f>1573.27</f>
        <v/>
      </c>
      <c r="I180" s="3" t="n">
        <v>16582</v>
      </c>
      <c r="J180" s="3" t="n">
        <v>1118</v>
      </c>
      <c r="K180" s="3">
        <f>ROUND(C180/I180*100,2)</f>
        <v/>
      </c>
      <c r="L180" s="3" t="n">
        <v>57</v>
      </c>
      <c r="M180" s="3" t="n">
        <v>29</v>
      </c>
      <c r="N180" s="3" t="n">
        <v>86</v>
      </c>
      <c r="O180" s="3">
        <f>ROUND(N180/J180*100,2)</f>
        <v/>
      </c>
      <c r="P180" s="3">
        <f>4485.22</f>
        <v/>
      </c>
      <c r="Q180" s="3">
        <f>ROUND(P180/H180,2)</f>
        <v/>
      </c>
      <c r="R180" s="3">
        <f>IF(K180&gt;0,ROUND(H180/K180,2),999)</f>
        <v/>
      </c>
      <c r="S180" s="3" t="inlineStr">
        <is>
          <t>Pantry</t>
        </is>
      </c>
      <c r="T180" s="3" t="n">
        <v>858</v>
      </c>
      <c r="U180" s="3" t="n">
        <v>68</v>
      </c>
      <c r="V180" s="3" t="n">
        <v>5569</v>
      </c>
      <c r="W180" s="2" t="inlineStr">
        <is>
          <t>Retargeting campaign paused for fatigue analysis.</t>
        </is>
      </c>
    </row>
    <row r="181">
      <c r="A181" s="4" t="inlineStr">
        <is>
          <t>2024-06-28</t>
        </is>
      </c>
      <c r="B181" s="4" t="inlineStr">
        <is>
          <t>Friday</t>
        </is>
      </c>
      <c r="C181" s="4" t="n">
        <v>26</v>
      </c>
      <c r="D181" s="4" t="n">
        <v>6</v>
      </c>
      <c r="E181" s="4" t="n">
        <v>2</v>
      </c>
      <c r="F181" s="4" t="inlineStr">
        <is>
          <t>Summer</t>
        </is>
      </c>
      <c r="G181" s="4" t="inlineStr">
        <is>
          <t>Optimization</t>
        </is>
      </c>
      <c r="H181" s="5">
        <f>1692.33</f>
        <v/>
      </c>
      <c r="I181" s="5" t="n">
        <v>16777</v>
      </c>
      <c r="J181" s="5" t="n">
        <v>1154</v>
      </c>
      <c r="K181" s="5">
        <f>ROUND(C181/I181*100,2)</f>
        <v/>
      </c>
      <c r="L181" s="5" t="n">
        <v>108</v>
      </c>
      <c r="M181" s="5" t="n">
        <v>24</v>
      </c>
      <c r="N181" s="5" t="n">
        <v>132</v>
      </c>
      <c r="O181" s="5">
        <f>ROUND(N181/J181*100,2)</f>
        <v/>
      </c>
      <c r="P181" s="5">
        <f>7978.03</f>
        <v/>
      </c>
      <c r="Q181" s="5">
        <f>ROUND(P181/H181,2)</f>
        <v/>
      </c>
      <c r="R181" s="5">
        <f>IF(K181&gt;0,ROUND(H181/K181,2),999)</f>
        <v/>
      </c>
      <c r="S181" s="5" t="inlineStr">
        <is>
          <t>Snack Box</t>
        </is>
      </c>
      <c r="T181" s="5" t="n">
        <v>698</v>
      </c>
      <c r="U181" s="5" t="n">
        <v>237</v>
      </c>
      <c r="V181" s="5" t="n">
        <v>6236</v>
      </c>
      <c r="W181" s="4" t="inlineStr">
        <is>
          <t>New customer acquisition cost declining with better audience targeting.</t>
        </is>
      </c>
    </row>
    <row r="182">
      <c r="A182" s="2" t="inlineStr">
        <is>
          <t>2024-06-29</t>
        </is>
      </c>
      <c r="B182" s="2" t="inlineStr">
        <is>
          <t>Saturday</t>
        </is>
      </c>
      <c r="C182" s="2" t="n">
        <v>26</v>
      </c>
      <c r="D182" s="2" t="n">
        <v>6</v>
      </c>
      <c r="E182" s="2" t="n">
        <v>2</v>
      </c>
      <c r="F182" s="2" t="inlineStr">
        <is>
          <t>Summer</t>
        </is>
      </c>
      <c r="G182" s="2" t="inlineStr">
        <is>
          <t>Optimization</t>
        </is>
      </c>
      <c r="H182" s="3">
        <f>1090.78</f>
        <v/>
      </c>
      <c r="I182" s="3" t="n">
        <v>9592</v>
      </c>
      <c r="J182" s="3" t="n">
        <v>506</v>
      </c>
      <c r="K182" s="3">
        <f>ROUND(C182/I182*100,2)</f>
        <v/>
      </c>
      <c r="L182" s="3" t="n">
        <v>47</v>
      </c>
      <c r="M182" s="3" t="n">
        <v>16</v>
      </c>
      <c r="N182" s="3" t="n">
        <v>63</v>
      </c>
      <c r="O182" s="3">
        <f>ROUND(N182/J182*100,2)</f>
        <v/>
      </c>
      <c r="P182" s="3">
        <f>4080.77</f>
        <v/>
      </c>
      <c r="Q182" s="3">
        <f>ROUND(P182/H182,2)</f>
        <v/>
      </c>
      <c r="R182" s="3">
        <f>IF(K182&gt;0,ROUND(H182/K182,2),999)</f>
        <v/>
      </c>
      <c r="S182" s="3" t="inlineStr">
        <is>
          <t>Meal Kit</t>
        </is>
      </c>
      <c r="T182" s="3" t="n">
        <v>197</v>
      </c>
      <c r="U182" s="3" t="n">
        <v>35</v>
      </c>
      <c r="V182" s="3" t="n">
        <v>2177</v>
      </c>
      <c r="W182" s="2" t="inlineStr">
        <is>
          <t>Meta lookalike audience expansion successful.</t>
        </is>
      </c>
    </row>
    <row r="183">
      <c r="A183" s="4" t="inlineStr">
        <is>
          <t>2024-06-30</t>
        </is>
      </c>
      <c r="B183" s="4" t="inlineStr">
        <is>
          <t>Sunday</t>
        </is>
      </c>
      <c r="C183" s="4" t="n">
        <v>26</v>
      </c>
      <c r="D183" s="4" t="n">
        <v>6</v>
      </c>
      <c r="E183" s="4" t="n">
        <v>2</v>
      </c>
      <c r="F183" s="4" t="inlineStr">
        <is>
          <t>Summer</t>
        </is>
      </c>
      <c r="G183" s="4" t="inlineStr">
        <is>
          <t>Scale</t>
        </is>
      </c>
      <c r="H183" s="5">
        <f>1157.89</f>
        <v/>
      </c>
      <c r="I183" s="5" t="n">
        <v>12261</v>
      </c>
      <c r="J183" s="5" t="n">
        <v>748</v>
      </c>
      <c r="K183" s="5">
        <f>ROUND(C183/I183*100,2)</f>
        <v/>
      </c>
      <c r="L183" s="5" t="n">
        <v>67</v>
      </c>
      <c r="M183" s="5" t="n">
        <v>41</v>
      </c>
      <c r="N183" s="5" t="n">
        <v>108</v>
      </c>
      <c r="O183" s="5">
        <f>ROUND(N183/J183*100,2)</f>
        <v/>
      </c>
      <c r="P183" s="5">
        <f>6803.31</f>
        <v/>
      </c>
      <c r="Q183" s="5">
        <f>ROUND(P183/H183,2)</f>
        <v/>
      </c>
      <c r="R183" s="5">
        <f>IF(K183&gt;0,ROUND(H183/K183,2),999)</f>
        <v/>
      </c>
      <c r="S183" s="5" t="inlineStr">
        <is>
          <t>Meal Kit</t>
        </is>
      </c>
      <c r="T183" s="5" t="n">
        <v>261</v>
      </c>
      <c r="U183" s="5" t="n">
        <v>138</v>
      </c>
      <c r="V183" s="5" t="n">
        <v>1457</v>
      </c>
      <c r="W183" s="4" t="inlineStr">
        <is>
          <t>Tuesday peak for email nurture campaigns.</t>
        </is>
      </c>
    </row>
    <row r="184">
      <c r="A184" s="2" t="inlineStr">
        <is>
          <t>2024-07-01</t>
        </is>
      </c>
      <c r="B184" s="2" t="inlineStr">
        <is>
          <t>Monday</t>
        </is>
      </c>
      <c r="C184" s="2" t="n">
        <v>27</v>
      </c>
      <c r="D184" s="2" t="n">
        <v>7</v>
      </c>
      <c r="E184" s="2" t="n">
        <v>3</v>
      </c>
      <c r="F184" s="2" t="inlineStr">
        <is>
          <t>Summer</t>
        </is>
      </c>
      <c r="G184" s="2" t="inlineStr">
        <is>
          <t>Scale</t>
        </is>
      </c>
      <c r="H184" s="3">
        <f>1459.23</f>
        <v/>
      </c>
      <c r="I184" s="3" t="n">
        <v>16336</v>
      </c>
      <c r="J184" s="3" t="n">
        <v>670</v>
      </c>
      <c r="K184" s="3">
        <f>ROUND(C184/I184*100,2)</f>
        <v/>
      </c>
      <c r="L184" s="3" t="n">
        <v>77</v>
      </c>
      <c r="M184" s="3" t="n">
        <v>31</v>
      </c>
      <c r="N184" s="3" t="n">
        <v>108</v>
      </c>
      <c r="O184" s="3">
        <f>ROUND(N184/J184*100,2)</f>
        <v/>
      </c>
      <c r="P184" s="3">
        <f>6762.88</f>
        <v/>
      </c>
      <c r="Q184" s="3">
        <f>ROUND(P184/H184,2)</f>
        <v/>
      </c>
      <c r="R184" s="3">
        <f>IF(K184&gt;0,ROUND(H184/K184,2),999)</f>
        <v/>
      </c>
      <c r="S184" s="3" t="inlineStr">
        <is>
          <t>Pantry</t>
        </is>
      </c>
      <c r="T184" s="3" t="n">
        <v>351</v>
      </c>
      <c r="U184" s="3" t="n">
        <v>37</v>
      </c>
      <c r="V184" s="3" t="n">
        <v>2456</v>
      </c>
      <c r="W184" s="2" t="inlineStr">
        <is>
          <t>Organic search volume spike due to influencer mention.</t>
        </is>
      </c>
    </row>
    <row r="185">
      <c r="A185" s="4" t="inlineStr">
        <is>
          <t>2024-07-02</t>
        </is>
      </c>
      <c r="B185" s="4" t="inlineStr">
        <is>
          <t>Tuesday</t>
        </is>
      </c>
      <c r="C185" s="4" t="n">
        <v>27</v>
      </c>
      <c r="D185" s="4" t="n">
        <v>7</v>
      </c>
      <c r="E185" s="4" t="n">
        <v>3</v>
      </c>
      <c r="F185" s="4" t="inlineStr">
        <is>
          <t>Summer</t>
        </is>
      </c>
      <c r="G185" s="4" t="inlineStr">
        <is>
          <t>Scale</t>
        </is>
      </c>
      <c r="H185" s="5">
        <f>1863.57</f>
        <v/>
      </c>
      <c r="I185" s="5" t="n">
        <v>22165</v>
      </c>
      <c r="J185" s="5" t="n">
        <v>576</v>
      </c>
      <c r="K185" s="5">
        <f>ROUND(C185/I185*100,2)</f>
        <v/>
      </c>
      <c r="L185" s="5" t="n">
        <v>50</v>
      </c>
      <c r="M185" s="5" t="n">
        <v>29</v>
      </c>
      <c r="N185" s="5" t="n">
        <v>79</v>
      </c>
      <c r="O185" s="5">
        <f>ROUND(N185/J185*100,2)</f>
        <v/>
      </c>
      <c r="P185" s="5">
        <f>3782.48</f>
        <v/>
      </c>
      <c r="Q185" s="5">
        <f>ROUND(P185/H185,2)</f>
        <v/>
      </c>
      <c r="R185" s="5">
        <f>IF(K185&gt;0,ROUND(H185/K185,2),999)</f>
        <v/>
      </c>
      <c r="S185" s="5" t="inlineStr">
        <is>
          <t>Snack Box</t>
        </is>
      </c>
      <c r="T185" s="5" t="n">
        <v>454</v>
      </c>
      <c r="U185" s="5" t="n">
        <v>76</v>
      </c>
      <c r="V185" s="5" t="n">
        <v>3543</v>
      </c>
      <c r="W185" s="4" t="inlineStr">
        <is>
          <t>Bundle promotion resonating with families segment.</t>
        </is>
      </c>
    </row>
    <row r="186">
      <c r="A186" s="2" t="inlineStr">
        <is>
          <t>2024-07-03</t>
        </is>
      </c>
      <c r="B186" s="2" t="inlineStr">
        <is>
          <t>Wednesday</t>
        </is>
      </c>
      <c r="C186" s="2" t="n">
        <v>27</v>
      </c>
      <c r="D186" s="2" t="n">
        <v>7</v>
      </c>
      <c r="E186" s="2" t="n">
        <v>3</v>
      </c>
      <c r="F186" s="2" t="inlineStr">
        <is>
          <t>Summer</t>
        </is>
      </c>
      <c r="G186" s="2" t="inlineStr">
        <is>
          <t>Scale</t>
        </is>
      </c>
      <c r="H186" s="3">
        <f>1816.73</f>
        <v/>
      </c>
      <c r="I186" s="3" t="n">
        <v>21018</v>
      </c>
      <c r="J186" s="3" t="n">
        <v>1417</v>
      </c>
      <c r="K186" s="3">
        <f>ROUND(C186/I186*100,2)</f>
        <v/>
      </c>
      <c r="L186" s="3" t="n">
        <v>141</v>
      </c>
      <c r="M186" s="3" t="n">
        <v>31</v>
      </c>
      <c r="N186" s="3" t="n">
        <v>172</v>
      </c>
      <c r="O186" s="3">
        <f>ROUND(N186/J186*100,2)</f>
        <v/>
      </c>
      <c r="P186" s="3">
        <f>11067.08</f>
        <v/>
      </c>
      <c r="Q186" s="3">
        <f>ROUND(P186/H186,2)</f>
        <v/>
      </c>
      <c r="R186" s="3">
        <f>IF(K186&gt;0,ROUND(H186/K186,2),999)</f>
        <v/>
      </c>
      <c r="S186" s="3" t="inlineStr">
        <is>
          <t>Pantry</t>
        </is>
      </c>
      <c r="T186" s="3" t="n">
        <v>532</v>
      </c>
      <c r="U186" s="3" t="n">
        <v>121</v>
      </c>
      <c r="V186" s="3" t="n">
        <v>6711</v>
      </c>
      <c r="W186" s="2" t="inlineStr">
        <is>
          <t>YouTube pre-roll tested with product demo creatives.</t>
        </is>
      </c>
    </row>
    <row r="187">
      <c r="A187" s="4" t="inlineStr">
        <is>
          <t>2024-07-04</t>
        </is>
      </c>
      <c r="B187" s="4" t="inlineStr">
        <is>
          <t>Thursday</t>
        </is>
      </c>
      <c r="C187" s="4" t="n">
        <v>27</v>
      </c>
      <c r="D187" s="4" t="n">
        <v>7</v>
      </c>
      <c r="E187" s="4" t="n">
        <v>3</v>
      </c>
      <c r="F187" s="4" t="inlineStr">
        <is>
          <t>Summer</t>
        </is>
      </c>
      <c r="G187" s="4" t="inlineStr">
        <is>
          <t>Scale</t>
        </is>
      </c>
      <c r="H187" s="5">
        <f>1426.86</f>
        <v/>
      </c>
      <c r="I187" s="5" t="n">
        <v>13648</v>
      </c>
      <c r="J187" s="5" t="n">
        <v>731</v>
      </c>
      <c r="K187" s="5">
        <f>ROUND(C187/I187*100,2)</f>
        <v/>
      </c>
      <c r="L187" s="5" t="n">
        <v>52</v>
      </c>
      <c r="M187" s="5" t="n">
        <v>42</v>
      </c>
      <c r="N187" s="5" t="n">
        <v>94</v>
      </c>
      <c r="O187" s="5">
        <f>ROUND(N187/J187*100,2)</f>
        <v/>
      </c>
      <c r="P187" s="5">
        <f>5481.35</f>
        <v/>
      </c>
      <c r="Q187" s="5">
        <f>ROUND(P187/H187,2)</f>
        <v/>
      </c>
      <c r="R187" s="5">
        <f>IF(K187&gt;0,ROUND(H187/K187,2),999)</f>
        <v/>
      </c>
      <c r="S187" s="5" t="inlineStr">
        <is>
          <t>Meal Kit</t>
        </is>
      </c>
      <c r="T187" s="5" t="n">
        <v>496</v>
      </c>
      <c r="U187" s="5" t="n">
        <v>161</v>
      </c>
      <c r="V187" s="5" t="n">
        <v>1929</v>
      </c>
      <c r="W187" s="4" t="inlineStr">
        <is>
          <t>Display network efficiency improved after audience refinement.</t>
        </is>
      </c>
    </row>
    <row r="188">
      <c r="A188" s="2" t="inlineStr">
        <is>
          <t>2024-07-05</t>
        </is>
      </c>
      <c r="B188" s="2" t="inlineStr">
        <is>
          <t>Friday</t>
        </is>
      </c>
      <c r="C188" s="2" t="n">
        <v>27</v>
      </c>
      <c r="D188" s="2" t="n">
        <v>7</v>
      </c>
      <c r="E188" s="2" t="n">
        <v>3</v>
      </c>
      <c r="F188" s="2" t="inlineStr">
        <is>
          <t>Summer</t>
        </is>
      </c>
      <c r="G188" s="2" t="inlineStr">
        <is>
          <t>Scale</t>
        </is>
      </c>
      <c r="H188" s="3">
        <f>1565.21</f>
        <v/>
      </c>
      <c r="I188" s="3" t="n">
        <v>21364</v>
      </c>
      <c r="J188" s="3" t="n">
        <v>640</v>
      </c>
      <c r="K188" s="3">
        <f>ROUND(C188/I188*100,2)</f>
        <v/>
      </c>
      <c r="L188" s="3" t="n">
        <v>42</v>
      </c>
      <c r="M188" s="3" t="n">
        <v>32</v>
      </c>
      <c r="N188" s="3" t="n">
        <v>74</v>
      </c>
      <c r="O188" s="3">
        <f>ROUND(N188/J188*100,2)</f>
        <v/>
      </c>
      <c r="P188" s="3">
        <f>4617.07</f>
        <v/>
      </c>
      <c r="Q188" s="3">
        <f>ROUND(P188/H188,2)</f>
        <v/>
      </c>
      <c r="R188" s="3">
        <f>IF(K188&gt;0,ROUND(H188/K188,2),999)</f>
        <v/>
      </c>
      <c r="S188" s="3" t="inlineStr">
        <is>
          <t>Meal Kit</t>
        </is>
      </c>
      <c r="T188" s="3" t="n">
        <v>240</v>
      </c>
      <c r="U188" s="3" t="n">
        <v>106</v>
      </c>
      <c r="V188" s="3" t="n">
        <v>2734</v>
      </c>
      <c r="W188" s="2" t="inlineStr">
        <is>
          <t>Seasonal surge in health-conscious persona segments.</t>
        </is>
      </c>
    </row>
    <row r="189">
      <c r="A189" s="4" t="inlineStr">
        <is>
          <t>2024-07-06</t>
        </is>
      </c>
      <c r="B189" s="4" t="inlineStr">
        <is>
          <t>Saturday</t>
        </is>
      </c>
      <c r="C189" s="4" t="n">
        <v>27</v>
      </c>
      <c r="D189" s="4" t="n">
        <v>7</v>
      </c>
      <c r="E189" s="4" t="n">
        <v>3</v>
      </c>
      <c r="F189" s="4" t="inlineStr">
        <is>
          <t>Summer</t>
        </is>
      </c>
      <c r="G189" s="4" t="inlineStr">
        <is>
          <t>Scale</t>
        </is>
      </c>
      <c r="H189" s="5">
        <f>1104.25</f>
        <v/>
      </c>
      <c r="I189" s="5" t="n">
        <v>9957</v>
      </c>
      <c r="J189" s="5" t="n">
        <v>426</v>
      </c>
      <c r="K189" s="5">
        <f>ROUND(C189/I189*100,2)</f>
        <v/>
      </c>
      <c r="L189" s="5" t="n">
        <v>38</v>
      </c>
      <c r="M189" s="5" t="n">
        <v>17</v>
      </c>
      <c r="N189" s="5" t="n">
        <v>55</v>
      </c>
      <c r="O189" s="5">
        <f>ROUND(N189/J189*100,2)</f>
        <v/>
      </c>
      <c r="P189" s="5">
        <f>3543.49</f>
        <v/>
      </c>
      <c r="Q189" s="5">
        <f>ROUND(P189/H189,2)</f>
        <v/>
      </c>
      <c r="R189" s="5">
        <f>IF(K189&gt;0,ROUND(H189/K189,2),999)</f>
        <v/>
      </c>
      <c r="S189" s="5" t="inlineStr">
        <is>
          <t>Meal Kit</t>
        </is>
      </c>
      <c r="T189" s="5" t="n">
        <v>279</v>
      </c>
      <c r="U189" s="5" t="n">
        <v>103</v>
      </c>
      <c r="V189" s="5" t="n">
        <v>2438</v>
      </c>
      <c r="W189" s="4" t="inlineStr">
        <is>
          <t>Subscription retention improving month-over-month.</t>
        </is>
      </c>
    </row>
    <row r="190">
      <c r="A190" s="2" t="inlineStr">
        <is>
          <t>2024-07-07</t>
        </is>
      </c>
      <c r="B190" s="2" t="inlineStr">
        <is>
          <t>Sunday</t>
        </is>
      </c>
      <c r="C190" s="2" t="n">
        <v>27</v>
      </c>
      <c r="D190" s="2" t="n">
        <v>7</v>
      </c>
      <c r="E190" s="2" t="n">
        <v>3</v>
      </c>
      <c r="F190" s="2" t="inlineStr">
        <is>
          <t>Summer</t>
        </is>
      </c>
      <c r="G190" s="2" t="inlineStr">
        <is>
          <t>Scale</t>
        </is>
      </c>
      <c r="H190" s="3">
        <f>1208.92</f>
        <v/>
      </c>
      <c r="I190" s="3" t="n">
        <v>14674</v>
      </c>
      <c r="J190" s="3" t="n">
        <v>607</v>
      </c>
      <c r="K190" s="3">
        <f>ROUND(C190/I190*100,2)</f>
        <v/>
      </c>
      <c r="L190" s="3" t="n">
        <v>62</v>
      </c>
      <c r="M190" s="3" t="n">
        <v>36</v>
      </c>
      <c r="N190" s="3" t="n">
        <v>98</v>
      </c>
      <c r="O190" s="3">
        <f>ROUND(N190/J190*100,2)</f>
        <v/>
      </c>
      <c r="P190" s="3">
        <f>5625.69</f>
        <v/>
      </c>
      <c r="Q190" s="3">
        <f>ROUND(P190/H190,2)</f>
        <v/>
      </c>
      <c r="R190" s="3">
        <f>IF(K190&gt;0,ROUND(H190/K190,2),999)</f>
        <v/>
      </c>
      <c r="S190" s="3" t="inlineStr">
        <is>
          <t>Pantry</t>
        </is>
      </c>
      <c r="T190" s="3" t="n">
        <v>193</v>
      </c>
      <c r="U190" s="3" t="n">
        <v>36</v>
      </c>
      <c r="V190" s="3" t="n">
        <v>3714</v>
      </c>
      <c r="W190" s="2" t="inlineStr">
        <is>
          <t>YouTube pre-roll tested with product demo creatives.</t>
        </is>
      </c>
    </row>
    <row r="191">
      <c r="A191" s="4" t="inlineStr">
        <is>
          <t>2024-07-08</t>
        </is>
      </c>
      <c r="B191" s="4" t="inlineStr">
        <is>
          <t>Monday</t>
        </is>
      </c>
      <c r="C191" s="4" t="n">
        <v>28</v>
      </c>
      <c r="D191" s="4" t="n">
        <v>7</v>
      </c>
      <c r="E191" s="4" t="n">
        <v>3</v>
      </c>
      <c r="F191" s="4" t="inlineStr">
        <is>
          <t>Summer</t>
        </is>
      </c>
      <c r="G191" s="4" t="inlineStr">
        <is>
          <t>Scale</t>
        </is>
      </c>
      <c r="H191" s="5">
        <f>1858.59</f>
        <v/>
      </c>
      <c r="I191" s="5" t="n">
        <v>20244</v>
      </c>
      <c r="J191" s="5" t="n">
        <v>830</v>
      </c>
      <c r="K191" s="5">
        <f>ROUND(C191/I191*100,2)</f>
        <v/>
      </c>
      <c r="L191" s="5" t="n">
        <v>92</v>
      </c>
      <c r="M191" s="5" t="n">
        <v>16</v>
      </c>
      <c r="N191" s="5" t="n">
        <v>108</v>
      </c>
      <c r="O191" s="5">
        <f>ROUND(N191/J191*100,2)</f>
        <v/>
      </c>
      <c r="P191" s="5">
        <f>6393.02</f>
        <v/>
      </c>
      <c r="Q191" s="5">
        <f>ROUND(P191/H191,2)</f>
        <v/>
      </c>
      <c r="R191" s="5">
        <f>IF(K191&gt;0,ROUND(H191/K191,2),999)</f>
        <v/>
      </c>
      <c r="S191" s="5" t="inlineStr">
        <is>
          <t>Pantry</t>
        </is>
      </c>
      <c r="T191" s="5" t="n">
        <v>339</v>
      </c>
      <c r="U191" s="5" t="n">
        <v>186</v>
      </c>
      <c r="V191" s="5" t="n">
        <v>4917</v>
      </c>
      <c r="W191" s="4" t="inlineStr">
        <is>
          <t>Budget reallocation to top-performing Google Shopping ads.</t>
        </is>
      </c>
    </row>
    <row r="192">
      <c r="A192" s="2" t="inlineStr">
        <is>
          <t>2024-07-09</t>
        </is>
      </c>
      <c r="B192" s="2" t="inlineStr">
        <is>
          <t>Tuesday</t>
        </is>
      </c>
      <c r="C192" s="2" t="n">
        <v>28</v>
      </c>
      <c r="D192" s="2" t="n">
        <v>7</v>
      </c>
      <c r="E192" s="2" t="n">
        <v>3</v>
      </c>
      <c r="F192" s="2" t="inlineStr">
        <is>
          <t>Summer</t>
        </is>
      </c>
      <c r="G192" s="2" t="inlineStr">
        <is>
          <t>Scale</t>
        </is>
      </c>
      <c r="H192" s="3">
        <f>1890.69</f>
        <v/>
      </c>
      <c r="I192" s="3" t="n">
        <v>27544</v>
      </c>
      <c r="J192" s="3" t="n">
        <v>1080</v>
      </c>
      <c r="K192" s="3">
        <f>ROUND(C192/I192*100,2)</f>
        <v/>
      </c>
      <c r="L192" s="3" t="n">
        <v>100</v>
      </c>
      <c r="M192" s="3" t="n">
        <v>31</v>
      </c>
      <c r="N192" s="3" t="n">
        <v>131</v>
      </c>
      <c r="O192" s="3">
        <f>ROUND(N192/J192*100,2)</f>
        <v/>
      </c>
      <c r="P192" s="3">
        <f>6073.00</f>
        <v/>
      </c>
      <c r="Q192" s="3">
        <f>ROUND(P192/H192,2)</f>
        <v/>
      </c>
      <c r="R192" s="3">
        <f>IF(K192&gt;0,ROUND(H192/K192,2),999)</f>
        <v/>
      </c>
      <c r="S192" s="3" t="inlineStr">
        <is>
          <t>Snack Box</t>
        </is>
      </c>
      <c r="T192" s="3" t="n">
        <v>330</v>
      </c>
      <c r="U192" s="3" t="n">
        <v>58</v>
      </c>
      <c r="V192" s="3" t="n">
        <v>8804</v>
      </c>
      <c r="W192" s="2" t="inlineStr">
        <is>
          <t>Competitor promotion detected, reduced CPA achieved through optimization.</t>
        </is>
      </c>
    </row>
    <row r="193">
      <c r="A193" s="4" t="inlineStr">
        <is>
          <t>2024-07-10</t>
        </is>
      </c>
      <c r="B193" s="4" t="inlineStr">
        <is>
          <t>Wednesday</t>
        </is>
      </c>
      <c r="C193" s="4" t="n">
        <v>28</v>
      </c>
      <c r="D193" s="4" t="n">
        <v>7</v>
      </c>
      <c r="E193" s="4" t="n">
        <v>3</v>
      </c>
      <c r="F193" s="4" t="inlineStr">
        <is>
          <t>Summer</t>
        </is>
      </c>
      <c r="G193" s="4" t="inlineStr">
        <is>
          <t>Scale</t>
        </is>
      </c>
      <c r="H193" s="5">
        <f>1484.87</f>
        <v/>
      </c>
      <c r="I193" s="5" t="n">
        <v>19076</v>
      </c>
      <c r="J193" s="5" t="n">
        <v>782</v>
      </c>
      <c r="K193" s="5">
        <f>ROUND(C193/I193*100,2)</f>
        <v/>
      </c>
      <c r="L193" s="5" t="n">
        <v>39</v>
      </c>
      <c r="M193" s="5" t="n">
        <v>34</v>
      </c>
      <c r="N193" s="5" t="n">
        <v>73</v>
      </c>
      <c r="O193" s="5">
        <f>ROUND(N193/J193*100,2)</f>
        <v/>
      </c>
      <c r="P193" s="5">
        <f>4517.16</f>
        <v/>
      </c>
      <c r="Q193" s="5">
        <f>ROUND(P193/H193,2)</f>
        <v/>
      </c>
      <c r="R193" s="5">
        <f>IF(K193&gt;0,ROUND(H193/K193,2),999)</f>
        <v/>
      </c>
      <c r="S193" s="5" t="inlineStr">
        <is>
          <t>Meal Kit</t>
        </is>
      </c>
      <c r="T193" s="5" t="n">
        <v>490</v>
      </c>
      <c r="U193" s="5" t="n">
        <v>138</v>
      </c>
      <c r="V193" s="5" t="n">
        <v>3749</v>
      </c>
      <c r="W193" s="4" t="inlineStr">
        <is>
          <t>Seasonal surge in health-conscious persona segments.</t>
        </is>
      </c>
    </row>
    <row r="194">
      <c r="A194" s="2" t="inlineStr">
        <is>
          <t>2024-07-11</t>
        </is>
      </c>
      <c r="B194" s="2" t="inlineStr">
        <is>
          <t>Thursday</t>
        </is>
      </c>
      <c r="C194" s="2" t="n">
        <v>28</v>
      </c>
      <c r="D194" s="2" t="n">
        <v>7</v>
      </c>
      <c r="E194" s="2" t="n">
        <v>3</v>
      </c>
      <c r="F194" s="2" t="inlineStr">
        <is>
          <t>Summer</t>
        </is>
      </c>
      <c r="G194" s="2" t="inlineStr">
        <is>
          <t>Scale</t>
        </is>
      </c>
      <c r="H194" s="3">
        <f>1684.64</f>
        <v/>
      </c>
      <c r="I194" s="3" t="n">
        <v>16578</v>
      </c>
      <c r="J194" s="3" t="n">
        <v>1317</v>
      </c>
      <c r="K194" s="3">
        <f>ROUND(C194/I194*100,2)</f>
        <v/>
      </c>
      <c r="L194" s="3" t="n">
        <v>125</v>
      </c>
      <c r="M194" s="3" t="n">
        <v>34</v>
      </c>
      <c r="N194" s="3" t="n">
        <v>159</v>
      </c>
      <c r="O194" s="3">
        <f>ROUND(N194/J194*100,2)</f>
        <v/>
      </c>
      <c r="P194" s="3">
        <f>8576.61</f>
        <v/>
      </c>
      <c r="Q194" s="3">
        <f>ROUND(P194/H194,2)</f>
        <v/>
      </c>
      <c r="R194" s="3">
        <f>IF(K194&gt;0,ROUND(H194/K194,2),999)</f>
        <v/>
      </c>
      <c r="S194" s="3" t="inlineStr">
        <is>
          <t>Meal Kit</t>
        </is>
      </c>
      <c r="T194" s="3" t="n">
        <v>931</v>
      </c>
      <c r="U194" s="3" t="n">
        <v>109</v>
      </c>
      <c r="V194" s="3" t="n">
        <v>4004</v>
      </c>
      <c r="W194" s="2" t="inlineStr">
        <is>
          <t>Bundle promotion resonating with families segment.</t>
        </is>
      </c>
    </row>
    <row r="195">
      <c r="A195" s="4" t="inlineStr">
        <is>
          <t>2024-07-12</t>
        </is>
      </c>
      <c r="B195" s="4" t="inlineStr">
        <is>
          <t>Friday</t>
        </is>
      </c>
      <c r="C195" s="4" t="n">
        <v>28</v>
      </c>
      <c r="D195" s="4" t="n">
        <v>7</v>
      </c>
      <c r="E195" s="4" t="n">
        <v>3</v>
      </c>
      <c r="F195" s="4" t="inlineStr">
        <is>
          <t>Summer</t>
        </is>
      </c>
      <c r="G195" s="4" t="inlineStr">
        <is>
          <t>Scale</t>
        </is>
      </c>
      <c r="H195" s="5">
        <f>1829.57</f>
        <v/>
      </c>
      <c r="I195" s="5" t="n">
        <v>20675</v>
      </c>
      <c r="J195" s="5" t="n">
        <v>739</v>
      </c>
      <c r="K195" s="5">
        <f>ROUND(C195/I195*100,2)</f>
        <v/>
      </c>
      <c r="L195" s="5" t="n">
        <v>60</v>
      </c>
      <c r="M195" s="5" t="n">
        <v>17</v>
      </c>
      <c r="N195" s="5" t="n">
        <v>77</v>
      </c>
      <c r="O195" s="5">
        <f>ROUND(N195/J195*100,2)</f>
        <v/>
      </c>
      <c r="P195" s="5">
        <f>4305.51</f>
        <v/>
      </c>
      <c r="Q195" s="5">
        <f>ROUND(P195/H195,2)</f>
        <v/>
      </c>
      <c r="R195" s="5">
        <f>IF(K195&gt;0,ROUND(H195/K195,2),999)</f>
        <v/>
      </c>
      <c r="S195" s="5" t="inlineStr">
        <is>
          <t>Meal Kit</t>
        </is>
      </c>
      <c r="T195" s="5" t="n">
        <v>296</v>
      </c>
      <c r="U195" s="5" t="n">
        <v>82</v>
      </c>
      <c r="V195" s="5" t="n">
        <v>5113</v>
      </c>
      <c r="W195" s="4" t="inlineStr">
        <is>
          <t>Weather-dependent category performance noted.</t>
        </is>
      </c>
    </row>
    <row r="196">
      <c r="A196" s="2" t="inlineStr">
        <is>
          <t>2024-07-13</t>
        </is>
      </c>
      <c r="B196" s="2" t="inlineStr">
        <is>
          <t>Saturday</t>
        </is>
      </c>
      <c r="C196" s="2" t="n">
        <v>28</v>
      </c>
      <c r="D196" s="2" t="n">
        <v>7</v>
      </c>
      <c r="E196" s="2" t="n">
        <v>3</v>
      </c>
      <c r="F196" s="2" t="inlineStr">
        <is>
          <t>Summer</t>
        </is>
      </c>
      <c r="G196" s="2" t="inlineStr">
        <is>
          <t>Scale</t>
        </is>
      </c>
      <c r="H196" s="3">
        <f>1226.52</f>
        <v/>
      </c>
      <c r="I196" s="3" t="n">
        <v>10997</v>
      </c>
      <c r="J196" s="3" t="n">
        <v>478</v>
      </c>
      <c r="K196" s="3">
        <f>ROUND(C196/I196*100,2)</f>
        <v/>
      </c>
      <c r="L196" s="3" t="n">
        <v>33</v>
      </c>
      <c r="M196" s="3" t="n">
        <v>13</v>
      </c>
      <c r="N196" s="3" t="n">
        <v>46</v>
      </c>
      <c r="O196" s="3">
        <f>ROUND(N196/J196*100,2)</f>
        <v/>
      </c>
      <c r="P196" s="3">
        <f>2526.96</f>
        <v/>
      </c>
      <c r="Q196" s="3">
        <f>ROUND(P196/H196,2)</f>
        <v/>
      </c>
      <c r="R196" s="3">
        <f>IF(K196&gt;0,ROUND(H196/K196,2),999)</f>
        <v/>
      </c>
      <c r="S196" s="3" t="inlineStr">
        <is>
          <t>Snack Box</t>
        </is>
      </c>
      <c r="T196" s="3" t="n">
        <v>267</v>
      </c>
      <c r="U196" s="3" t="n">
        <v>108</v>
      </c>
      <c r="V196" s="3" t="n">
        <v>2941</v>
      </c>
      <c r="W196" s="2" t="inlineStr">
        <is>
          <t>Weather-dependent category performance noted.</t>
        </is>
      </c>
    </row>
    <row r="197">
      <c r="A197" s="4" t="inlineStr">
        <is>
          <t>2024-07-14</t>
        </is>
      </c>
      <c r="B197" s="4" t="inlineStr">
        <is>
          <t>Sunday</t>
        </is>
      </c>
      <c r="C197" s="4" t="n">
        <v>28</v>
      </c>
      <c r="D197" s="4" t="n">
        <v>7</v>
      </c>
      <c r="E197" s="4" t="n">
        <v>3</v>
      </c>
      <c r="F197" s="4" t="inlineStr">
        <is>
          <t>Summer</t>
        </is>
      </c>
      <c r="G197" s="4" t="inlineStr">
        <is>
          <t>Scale</t>
        </is>
      </c>
      <c r="H197" s="5">
        <f>1275.84</f>
        <v/>
      </c>
      <c r="I197" s="5" t="n">
        <v>12073</v>
      </c>
      <c r="J197" s="5" t="n">
        <v>915</v>
      </c>
      <c r="K197" s="5">
        <f>ROUND(C197/I197*100,2)</f>
        <v/>
      </c>
      <c r="L197" s="5" t="n">
        <v>86</v>
      </c>
      <c r="M197" s="5" t="n">
        <v>33</v>
      </c>
      <c r="N197" s="5" t="n">
        <v>119</v>
      </c>
      <c r="O197" s="5">
        <f>ROUND(N197/J197*100,2)</f>
        <v/>
      </c>
      <c r="P197" s="5">
        <f>6791.50</f>
        <v/>
      </c>
      <c r="Q197" s="5">
        <f>ROUND(P197/H197,2)</f>
        <v/>
      </c>
      <c r="R197" s="5">
        <f>IF(K197&gt;0,ROUND(H197/K197,2),999)</f>
        <v/>
      </c>
      <c r="S197" s="5" t="inlineStr">
        <is>
          <t>Snack Box</t>
        </is>
      </c>
      <c r="T197" s="5" t="n">
        <v>373</v>
      </c>
      <c r="U197" s="5" t="n">
        <v>176</v>
      </c>
      <c r="V197" s="5" t="n">
        <v>3627</v>
      </c>
      <c r="W197" s="4" t="inlineStr">
        <is>
          <t>Meta lookalike audience expansion successful.</t>
        </is>
      </c>
    </row>
    <row r="198">
      <c r="A198" s="2" t="inlineStr">
        <is>
          <t>2024-07-15</t>
        </is>
      </c>
      <c r="B198" s="2" t="inlineStr">
        <is>
          <t>Monday</t>
        </is>
      </c>
      <c r="C198" s="2" t="n">
        <v>29</v>
      </c>
      <c r="D198" s="2" t="n">
        <v>7</v>
      </c>
      <c r="E198" s="2" t="n">
        <v>3</v>
      </c>
      <c r="F198" s="2" t="inlineStr">
        <is>
          <t>Summer</t>
        </is>
      </c>
      <c r="G198" s="2" t="inlineStr">
        <is>
          <t>Scale</t>
        </is>
      </c>
      <c r="H198" s="3">
        <f>1871.09</f>
        <v/>
      </c>
      <c r="I198" s="3" t="n">
        <v>19130</v>
      </c>
      <c r="J198" s="3" t="n">
        <v>484</v>
      </c>
      <c r="K198" s="3">
        <f>ROUND(C198/I198*100,2)</f>
        <v/>
      </c>
      <c r="L198" s="3" t="n">
        <v>34</v>
      </c>
      <c r="M198" s="3" t="n">
        <v>21</v>
      </c>
      <c r="N198" s="3" t="n">
        <v>55</v>
      </c>
      <c r="O198" s="3">
        <f>ROUND(N198/J198*100,2)</f>
        <v/>
      </c>
      <c r="P198" s="3">
        <f>3449.08</f>
        <v/>
      </c>
      <c r="Q198" s="3">
        <f>ROUND(P198/H198,2)</f>
        <v/>
      </c>
      <c r="R198" s="3">
        <f>IF(K198&gt;0,ROUND(H198/K198,2),999)</f>
        <v/>
      </c>
      <c r="S198" s="3" t="inlineStr">
        <is>
          <t>Snack Box</t>
        </is>
      </c>
      <c r="T198" s="3" t="n">
        <v>191</v>
      </c>
      <c r="U198" s="3" t="n">
        <v>44</v>
      </c>
      <c r="V198" s="3" t="n">
        <v>3690</v>
      </c>
      <c r="W198" s="2" t="inlineStr">
        <is>
          <t>Display network efficiency improved after audience refinement.</t>
        </is>
      </c>
    </row>
    <row r="199">
      <c r="A199" s="4" t="inlineStr">
        <is>
          <t>2024-07-16</t>
        </is>
      </c>
      <c r="B199" s="4" t="inlineStr">
        <is>
          <t>Tuesday</t>
        </is>
      </c>
      <c r="C199" s="4" t="n">
        <v>29</v>
      </c>
      <c r="D199" s="4" t="n">
        <v>7</v>
      </c>
      <c r="E199" s="4" t="n">
        <v>3</v>
      </c>
      <c r="F199" s="4" t="inlineStr">
        <is>
          <t>Summer</t>
        </is>
      </c>
      <c r="G199" s="4" t="inlineStr">
        <is>
          <t>Scale</t>
        </is>
      </c>
      <c r="H199" s="5">
        <f>1622.67</f>
        <v/>
      </c>
      <c r="I199" s="5" t="n">
        <v>13294</v>
      </c>
      <c r="J199" s="5" t="n">
        <v>1052</v>
      </c>
      <c r="K199" s="5">
        <f>ROUND(C199/I199*100,2)</f>
        <v/>
      </c>
      <c r="L199" s="5" t="n">
        <v>111</v>
      </c>
      <c r="M199" s="5" t="n">
        <v>49</v>
      </c>
      <c r="N199" s="5" t="n">
        <v>160</v>
      </c>
      <c r="O199" s="5">
        <f>ROUND(N199/J199*100,2)</f>
        <v/>
      </c>
      <c r="P199" s="5">
        <f>9296.82</f>
        <v/>
      </c>
      <c r="Q199" s="5">
        <f>ROUND(P199/H199,2)</f>
        <v/>
      </c>
      <c r="R199" s="5">
        <f>IF(K199&gt;0,ROUND(H199/K199,2),999)</f>
        <v/>
      </c>
      <c r="S199" s="5" t="inlineStr">
        <is>
          <t>Snack Box</t>
        </is>
      </c>
      <c r="T199" s="5" t="n">
        <v>412</v>
      </c>
      <c r="U199" s="5" t="n">
        <v>66</v>
      </c>
      <c r="V199" s="5" t="n">
        <v>3120</v>
      </c>
      <c r="W199" s="4" t="inlineStr">
        <is>
          <t>New customer acquisition cost declining with better audience targeting.</t>
        </is>
      </c>
    </row>
    <row r="200">
      <c r="A200" s="2" t="inlineStr">
        <is>
          <t>2024-07-17</t>
        </is>
      </c>
      <c r="B200" s="2" t="inlineStr">
        <is>
          <t>Wednesday</t>
        </is>
      </c>
      <c r="C200" s="2" t="n">
        <v>29</v>
      </c>
      <c r="D200" s="2" t="n">
        <v>7</v>
      </c>
      <c r="E200" s="2" t="n">
        <v>3</v>
      </c>
      <c r="F200" s="2" t="inlineStr">
        <is>
          <t>Summer</t>
        </is>
      </c>
      <c r="G200" s="2" t="inlineStr">
        <is>
          <t>Scale</t>
        </is>
      </c>
      <c r="H200" s="3">
        <f>1492.44</f>
        <v/>
      </c>
      <c r="I200" s="3" t="n">
        <v>19674</v>
      </c>
      <c r="J200" s="3" t="n">
        <v>633</v>
      </c>
      <c r="K200" s="3">
        <f>ROUND(C200/I200*100,2)</f>
        <v/>
      </c>
      <c r="L200" s="3" t="n">
        <v>72</v>
      </c>
      <c r="M200" s="3" t="n">
        <v>33</v>
      </c>
      <c r="N200" s="3" t="n">
        <v>105</v>
      </c>
      <c r="O200" s="3">
        <f>ROUND(N200/J200*100,2)</f>
        <v/>
      </c>
      <c r="P200" s="3">
        <f>6489.98</f>
        <v/>
      </c>
      <c r="Q200" s="3">
        <f>ROUND(P200/H200,2)</f>
        <v/>
      </c>
      <c r="R200" s="3">
        <f>IF(K200&gt;0,ROUND(H200/K200,2),999)</f>
        <v/>
      </c>
      <c r="S200" s="3" t="inlineStr">
        <is>
          <t>Pantry</t>
        </is>
      </c>
      <c r="T200" s="3" t="n">
        <v>301</v>
      </c>
      <c r="U200" s="3" t="n">
        <v>145</v>
      </c>
      <c r="V200" s="3" t="n">
        <v>3024</v>
      </c>
      <c r="W200" s="2" t="inlineStr">
        <is>
          <t>Organic search volume spike due to influencer mention.</t>
        </is>
      </c>
    </row>
    <row r="201">
      <c r="A201" s="4" t="inlineStr">
        <is>
          <t>2024-07-18</t>
        </is>
      </c>
      <c r="B201" s="4" t="inlineStr">
        <is>
          <t>Thursday</t>
        </is>
      </c>
      <c r="C201" s="4" t="n">
        <v>29</v>
      </c>
      <c r="D201" s="4" t="n">
        <v>7</v>
      </c>
      <c r="E201" s="4" t="n">
        <v>3</v>
      </c>
      <c r="F201" s="4" t="inlineStr">
        <is>
          <t>Summer</t>
        </is>
      </c>
      <c r="G201" s="4" t="inlineStr">
        <is>
          <t>Scale</t>
        </is>
      </c>
      <c r="H201" s="5">
        <f>1775.22</f>
        <v/>
      </c>
      <c r="I201" s="5" t="n">
        <v>16178</v>
      </c>
      <c r="J201" s="5" t="n">
        <v>869</v>
      </c>
      <c r="K201" s="5">
        <f>ROUND(C201/I201*100,2)</f>
        <v/>
      </c>
      <c r="L201" s="5" t="n">
        <v>65</v>
      </c>
      <c r="M201" s="5" t="n">
        <v>50</v>
      </c>
      <c r="N201" s="5" t="n">
        <v>115</v>
      </c>
      <c r="O201" s="5">
        <f>ROUND(N201/J201*100,2)</f>
        <v/>
      </c>
      <c r="P201" s="5">
        <f>6992.13</f>
        <v/>
      </c>
      <c r="Q201" s="5">
        <f>ROUND(P201/H201,2)</f>
        <v/>
      </c>
      <c r="R201" s="5">
        <f>IF(K201&gt;0,ROUND(H201/K201,2),999)</f>
        <v/>
      </c>
      <c r="S201" s="5" t="inlineStr">
        <is>
          <t>Pantry</t>
        </is>
      </c>
      <c r="T201" s="5" t="n">
        <v>589</v>
      </c>
      <c r="U201" s="5" t="n">
        <v>90</v>
      </c>
      <c r="V201" s="5" t="n">
        <v>3671</v>
      </c>
      <c r="W201" s="4" t="inlineStr">
        <is>
          <t>New TikTok creative launched, high initial impression share.</t>
        </is>
      </c>
    </row>
    <row r="202">
      <c r="A202" s="2" t="inlineStr">
        <is>
          <t>2024-07-19</t>
        </is>
      </c>
      <c r="B202" s="2" t="inlineStr">
        <is>
          <t>Friday</t>
        </is>
      </c>
      <c r="C202" s="2" t="n">
        <v>29</v>
      </c>
      <c r="D202" s="2" t="n">
        <v>7</v>
      </c>
      <c r="E202" s="2" t="n">
        <v>3</v>
      </c>
      <c r="F202" s="2" t="inlineStr">
        <is>
          <t>Summer</t>
        </is>
      </c>
      <c r="G202" s="2" t="inlineStr">
        <is>
          <t>Scale</t>
        </is>
      </c>
      <c r="H202" s="3">
        <f>1748.56</f>
        <v/>
      </c>
      <c r="I202" s="3" t="n">
        <v>22366</v>
      </c>
      <c r="J202" s="3" t="n">
        <v>1671</v>
      </c>
      <c r="K202" s="3">
        <f>ROUND(C202/I202*100,2)</f>
        <v/>
      </c>
      <c r="L202" s="3" t="n">
        <v>169</v>
      </c>
      <c r="M202" s="3" t="n">
        <v>61</v>
      </c>
      <c r="N202" s="3" t="n">
        <v>230</v>
      </c>
      <c r="O202" s="3">
        <f>ROUND(N202/J202*100,2)</f>
        <v/>
      </c>
      <c r="P202" s="3">
        <f>14747.27</f>
        <v/>
      </c>
      <c r="Q202" s="3">
        <f>ROUND(P202/H202,2)</f>
        <v/>
      </c>
      <c r="R202" s="3">
        <f>IF(K202&gt;0,ROUND(H202/K202,2),999)</f>
        <v/>
      </c>
      <c r="S202" s="3" t="inlineStr">
        <is>
          <t>Meal Kit</t>
        </is>
      </c>
      <c r="T202" s="3" t="n">
        <v>536</v>
      </c>
      <c r="U202" s="3" t="n">
        <v>308</v>
      </c>
      <c r="V202" s="3" t="n">
        <v>2299</v>
      </c>
      <c r="W202" s="2" t="inlineStr">
        <is>
          <t>YouTube pre-roll tested with product demo creatives.</t>
        </is>
      </c>
    </row>
    <row r="203">
      <c r="A203" s="4" t="inlineStr">
        <is>
          <t>2024-07-20</t>
        </is>
      </c>
      <c r="B203" s="4" t="inlineStr">
        <is>
          <t>Saturday</t>
        </is>
      </c>
      <c r="C203" s="4" t="n">
        <v>29</v>
      </c>
      <c r="D203" s="4" t="n">
        <v>7</v>
      </c>
      <c r="E203" s="4" t="n">
        <v>3</v>
      </c>
      <c r="F203" s="4" t="inlineStr">
        <is>
          <t>Summer</t>
        </is>
      </c>
      <c r="G203" s="4" t="inlineStr">
        <is>
          <t>Scale</t>
        </is>
      </c>
      <c r="H203" s="5">
        <f>1265.29</f>
        <v/>
      </c>
      <c r="I203" s="5" t="n">
        <v>13553</v>
      </c>
      <c r="J203" s="5" t="n">
        <v>342</v>
      </c>
      <c r="K203" s="5">
        <f>ROUND(C203/I203*100,2)</f>
        <v/>
      </c>
      <c r="L203" s="5" t="n">
        <v>32</v>
      </c>
      <c r="M203" s="5" t="n">
        <v>8</v>
      </c>
      <c r="N203" s="5" t="n">
        <v>40</v>
      </c>
      <c r="O203" s="5">
        <f>ROUND(N203/J203*100,2)</f>
        <v/>
      </c>
      <c r="P203" s="5">
        <f>2254.67</f>
        <v/>
      </c>
      <c r="Q203" s="5">
        <f>ROUND(P203/H203,2)</f>
        <v/>
      </c>
      <c r="R203" s="5">
        <f>IF(K203&gt;0,ROUND(H203/K203,2),999)</f>
        <v/>
      </c>
      <c r="S203" s="5" t="inlineStr">
        <is>
          <t>Pantry</t>
        </is>
      </c>
      <c r="T203" s="5" t="n">
        <v>170</v>
      </c>
      <c r="U203" s="5" t="n">
        <v>66</v>
      </c>
      <c r="V203" s="5" t="n">
        <v>1856</v>
      </c>
      <c r="W203" s="4" t="inlineStr">
        <is>
          <t>Meta lookalike audience expansion successful.</t>
        </is>
      </c>
    </row>
    <row r="204">
      <c r="A204" s="2" t="inlineStr">
        <is>
          <t>2024-07-21</t>
        </is>
      </c>
      <c r="B204" s="2" t="inlineStr">
        <is>
          <t>Sunday</t>
        </is>
      </c>
      <c r="C204" s="2" t="n">
        <v>29</v>
      </c>
      <c r="D204" s="2" t="n">
        <v>7</v>
      </c>
      <c r="E204" s="2" t="n">
        <v>3</v>
      </c>
      <c r="F204" s="2" t="inlineStr">
        <is>
          <t>Summer</t>
        </is>
      </c>
      <c r="G204" s="2" t="inlineStr">
        <is>
          <t>Scale</t>
        </is>
      </c>
      <c r="H204" s="3">
        <f>988.02</f>
        <v/>
      </c>
      <c r="I204" s="3" t="n">
        <v>11549</v>
      </c>
      <c r="J204" s="3" t="n">
        <v>661</v>
      </c>
      <c r="K204" s="3">
        <f>ROUND(C204/I204*100,2)</f>
        <v/>
      </c>
      <c r="L204" s="3" t="n">
        <v>64</v>
      </c>
      <c r="M204" s="3" t="n">
        <v>20</v>
      </c>
      <c r="N204" s="3" t="n">
        <v>84</v>
      </c>
      <c r="O204" s="3">
        <f>ROUND(N204/J204*100,2)</f>
        <v/>
      </c>
      <c r="P204" s="3">
        <f>4746.55</f>
        <v/>
      </c>
      <c r="Q204" s="3">
        <f>ROUND(P204/H204,2)</f>
        <v/>
      </c>
      <c r="R204" s="3">
        <f>IF(K204&gt;0,ROUND(H204/K204,2),999)</f>
        <v/>
      </c>
      <c r="S204" s="3" t="inlineStr">
        <is>
          <t>Pantry</t>
        </is>
      </c>
      <c r="T204" s="3" t="n">
        <v>262</v>
      </c>
      <c r="U204" s="3" t="n">
        <v>74</v>
      </c>
      <c r="V204" s="3" t="n">
        <v>2685</v>
      </c>
      <c r="W204" s="2" t="inlineStr">
        <is>
          <t>Strong Friday engagement, peak subscription signups.</t>
        </is>
      </c>
    </row>
    <row r="205">
      <c r="A205" s="4" t="inlineStr">
        <is>
          <t>2024-07-22</t>
        </is>
      </c>
      <c r="B205" s="4" t="inlineStr">
        <is>
          <t>Monday</t>
        </is>
      </c>
      <c r="C205" s="4" t="n">
        <v>30</v>
      </c>
      <c r="D205" s="4" t="n">
        <v>7</v>
      </c>
      <c r="E205" s="4" t="n">
        <v>3</v>
      </c>
      <c r="F205" s="4" t="inlineStr">
        <is>
          <t>Summer</t>
        </is>
      </c>
      <c r="G205" s="4" t="inlineStr">
        <is>
          <t>Scale</t>
        </is>
      </c>
      <c r="H205" s="5">
        <f>1526.73</f>
        <v/>
      </c>
      <c r="I205" s="5" t="n">
        <v>13951</v>
      </c>
      <c r="J205" s="5" t="n">
        <v>715</v>
      </c>
      <c r="K205" s="5">
        <f>ROUND(C205/I205*100,2)</f>
        <v/>
      </c>
      <c r="L205" s="5" t="n">
        <v>83</v>
      </c>
      <c r="M205" s="5" t="n">
        <v>14</v>
      </c>
      <c r="N205" s="5" t="n">
        <v>97</v>
      </c>
      <c r="O205" s="5">
        <f>ROUND(N205/J205*100,2)</f>
        <v/>
      </c>
      <c r="P205" s="5">
        <f>6095.21</f>
        <v/>
      </c>
      <c r="Q205" s="5">
        <f>ROUND(P205/H205,2)</f>
        <v/>
      </c>
      <c r="R205" s="5">
        <f>IF(K205&gt;0,ROUND(H205/K205,2),999)</f>
        <v/>
      </c>
      <c r="S205" s="5" t="inlineStr">
        <is>
          <t>Snack Box</t>
        </is>
      </c>
      <c r="T205" s="5" t="n">
        <v>467</v>
      </c>
      <c r="U205" s="5" t="n">
        <v>178</v>
      </c>
      <c r="V205" s="5" t="n">
        <v>4643</v>
      </c>
      <c r="W205" s="4" t="inlineStr">
        <is>
          <t>Display network efficiency improved after audience refinement.</t>
        </is>
      </c>
    </row>
    <row r="206">
      <c r="A206" s="2" t="inlineStr">
        <is>
          <t>2024-07-23</t>
        </is>
      </c>
      <c r="B206" s="2" t="inlineStr">
        <is>
          <t>Tuesday</t>
        </is>
      </c>
      <c r="C206" s="2" t="n">
        <v>30</v>
      </c>
      <c r="D206" s="2" t="n">
        <v>7</v>
      </c>
      <c r="E206" s="2" t="n">
        <v>3</v>
      </c>
      <c r="F206" s="2" t="inlineStr">
        <is>
          <t>Summer</t>
        </is>
      </c>
      <c r="G206" s="2" t="inlineStr">
        <is>
          <t>Scale</t>
        </is>
      </c>
      <c r="H206" s="3">
        <f>1792.69</f>
        <v/>
      </c>
      <c r="I206" s="3" t="n">
        <v>17178</v>
      </c>
      <c r="J206" s="3" t="n">
        <v>595</v>
      </c>
      <c r="K206" s="3">
        <f>ROUND(C206/I206*100,2)</f>
        <v/>
      </c>
      <c r="L206" s="3" t="n">
        <v>54</v>
      </c>
      <c r="M206" s="3" t="n">
        <v>30</v>
      </c>
      <c r="N206" s="3" t="n">
        <v>84</v>
      </c>
      <c r="O206" s="3">
        <f>ROUND(N206/J206*100,2)</f>
        <v/>
      </c>
      <c r="P206" s="3">
        <f>5148.33</f>
        <v/>
      </c>
      <c r="Q206" s="3">
        <f>ROUND(P206/H206,2)</f>
        <v/>
      </c>
      <c r="R206" s="3">
        <f>IF(K206&gt;0,ROUND(H206/K206,2),999)</f>
        <v/>
      </c>
      <c r="S206" s="3" t="inlineStr">
        <is>
          <t>Pantry</t>
        </is>
      </c>
      <c r="T206" s="3" t="n">
        <v>433</v>
      </c>
      <c r="U206" s="3" t="n">
        <v>141</v>
      </c>
      <c r="V206" s="3" t="n">
        <v>2564</v>
      </c>
      <c r="W206" s="2" t="inlineStr">
        <is>
          <t>New customer acquisition cost declining with better audience targeting.</t>
        </is>
      </c>
    </row>
    <row r="207">
      <c r="A207" s="4" t="inlineStr">
        <is>
          <t>2024-07-24</t>
        </is>
      </c>
      <c r="B207" s="4" t="inlineStr">
        <is>
          <t>Wednesday</t>
        </is>
      </c>
      <c r="C207" s="4" t="n">
        <v>30</v>
      </c>
      <c r="D207" s="4" t="n">
        <v>7</v>
      </c>
      <c r="E207" s="4" t="n">
        <v>3</v>
      </c>
      <c r="F207" s="4" t="inlineStr">
        <is>
          <t>Summer</t>
        </is>
      </c>
      <c r="G207" s="4" t="inlineStr">
        <is>
          <t>Scale</t>
        </is>
      </c>
      <c r="H207" s="5">
        <f>1824.70</f>
        <v/>
      </c>
      <c r="I207" s="5" t="n">
        <v>25350</v>
      </c>
      <c r="J207" s="5" t="n">
        <v>527</v>
      </c>
      <c r="K207" s="5">
        <f>ROUND(C207/I207*100,2)</f>
        <v/>
      </c>
      <c r="L207" s="5" t="n">
        <v>26</v>
      </c>
      <c r="M207" s="5" t="n">
        <v>12</v>
      </c>
      <c r="N207" s="5" t="n">
        <v>38</v>
      </c>
      <c r="O207" s="5">
        <f>ROUND(N207/J207*100,2)</f>
        <v/>
      </c>
      <c r="P207" s="5">
        <f>1983.13</f>
        <v/>
      </c>
      <c r="Q207" s="5">
        <f>ROUND(P207/H207,2)</f>
        <v/>
      </c>
      <c r="R207" s="5">
        <f>IF(K207&gt;0,ROUND(H207/K207,2),999)</f>
        <v/>
      </c>
      <c r="S207" s="5" t="inlineStr">
        <is>
          <t>Meal Kit</t>
        </is>
      </c>
      <c r="T207" s="5" t="n">
        <v>216</v>
      </c>
      <c r="U207" s="5" t="n">
        <v>126</v>
      </c>
      <c r="V207" s="5" t="n">
        <v>9887</v>
      </c>
      <c r="W207" s="4" t="inlineStr">
        <is>
          <t>Subscription retention improving month-over-month.</t>
        </is>
      </c>
    </row>
    <row r="208">
      <c r="A208" s="2" t="inlineStr">
        <is>
          <t>2024-07-25</t>
        </is>
      </c>
      <c r="B208" s="2" t="inlineStr">
        <is>
          <t>Thursday</t>
        </is>
      </c>
      <c r="C208" s="2" t="n">
        <v>30</v>
      </c>
      <c r="D208" s="2" t="n">
        <v>7</v>
      </c>
      <c r="E208" s="2" t="n">
        <v>3</v>
      </c>
      <c r="F208" s="2" t="inlineStr">
        <is>
          <t>Summer</t>
        </is>
      </c>
      <c r="G208" s="2" t="inlineStr">
        <is>
          <t>Scale</t>
        </is>
      </c>
      <c r="H208" s="3">
        <f>1542.53</f>
        <v/>
      </c>
      <c r="I208" s="3" t="n">
        <v>13568</v>
      </c>
      <c r="J208" s="3" t="n">
        <v>1070</v>
      </c>
      <c r="K208" s="3">
        <f>ROUND(C208/I208*100,2)</f>
        <v/>
      </c>
      <c r="L208" s="3" t="n">
        <v>126</v>
      </c>
      <c r="M208" s="3" t="n">
        <v>21</v>
      </c>
      <c r="N208" s="3" t="n">
        <v>147</v>
      </c>
      <c r="O208" s="3">
        <f>ROUND(N208/J208*100,2)</f>
        <v/>
      </c>
      <c r="P208" s="3">
        <f>9187.26</f>
        <v/>
      </c>
      <c r="Q208" s="3">
        <f>ROUND(P208/H208,2)</f>
        <v/>
      </c>
      <c r="R208" s="3">
        <f>IF(K208&gt;0,ROUND(H208/K208,2),999)</f>
        <v/>
      </c>
      <c r="S208" s="3" t="inlineStr">
        <is>
          <t>Snack Box</t>
        </is>
      </c>
      <c r="T208" s="3" t="n">
        <v>392</v>
      </c>
      <c r="U208" s="3" t="n">
        <v>240</v>
      </c>
      <c r="V208" s="3" t="n">
        <v>4583</v>
      </c>
      <c r="W208" s="2" t="inlineStr">
        <is>
          <t>Seasonal surge in health-conscious persona segments.</t>
        </is>
      </c>
    </row>
    <row r="209">
      <c r="A209" s="4" t="inlineStr">
        <is>
          <t>2024-07-26</t>
        </is>
      </c>
      <c r="B209" s="4" t="inlineStr">
        <is>
          <t>Friday</t>
        </is>
      </c>
      <c r="C209" s="4" t="n">
        <v>30</v>
      </c>
      <c r="D209" s="4" t="n">
        <v>7</v>
      </c>
      <c r="E209" s="4" t="n">
        <v>3</v>
      </c>
      <c r="F209" s="4" t="inlineStr">
        <is>
          <t>Summer</t>
        </is>
      </c>
      <c r="G209" s="4" t="inlineStr">
        <is>
          <t>Scale</t>
        </is>
      </c>
      <c r="H209" s="5">
        <f>1619.09</f>
        <v/>
      </c>
      <c r="I209" s="5" t="n">
        <v>22957</v>
      </c>
      <c r="J209" s="5" t="n">
        <v>841</v>
      </c>
      <c r="K209" s="5">
        <f>ROUND(C209/I209*100,2)</f>
        <v/>
      </c>
      <c r="L209" s="5" t="n">
        <v>51</v>
      </c>
      <c r="M209" s="5" t="n">
        <v>27</v>
      </c>
      <c r="N209" s="5" t="n">
        <v>78</v>
      </c>
      <c r="O209" s="5">
        <f>ROUND(N209/J209*100,2)</f>
        <v/>
      </c>
      <c r="P209" s="5">
        <f>3814.20</f>
        <v/>
      </c>
      <c r="Q209" s="5">
        <f>ROUND(P209/H209,2)</f>
        <v/>
      </c>
      <c r="R209" s="5">
        <f>IF(K209&gt;0,ROUND(H209/K209,2),999)</f>
        <v/>
      </c>
      <c r="S209" s="5" t="inlineStr">
        <is>
          <t>Meal Kit</t>
        </is>
      </c>
      <c r="T209" s="5" t="n">
        <v>473</v>
      </c>
      <c r="U209" s="5" t="n">
        <v>171</v>
      </c>
      <c r="V209" s="5" t="n">
        <v>5791</v>
      </c>
      <c r="W209" s="4" t="inlineStr">
        <is>
          <t>New TikTok creative launched, high initial impression share.</t>
        </is>
      </c>
    </row>
    <row r="210">
      <c r="A210" s="2" t="inlineStr">
        <is>
          <t>2024-07-27</t>
        </is>
      </c>
      <c r="B210" s="2" t="inlineStr">
        <is>
          <t>Saturday</t>
        </is>
      </c>
      <c r="C210" s="2" t="n">
        <v>30</v>
      </c>
      <c r="D210" s="2" t="n">
        <v>7</v>
      </c>
      <c r="E210" s="2" t="n">
        <v>3</v>
      </c>
      <c r="F210" s="2" t="inlineStr">
        <is>
          <t>Summer</t>
        </is>
      </c>
      <c r="G210" s="2" t="inlineStr">
        <is>
          <t>Scale</t>
        </is>
      </c>
      <c r="H210" s="3">
        <f>1157.69</f>
        <v/>
      </c>
      <c r="I210" s="3" t="n">
        <v>16286</v>
      </c>
      <c r="J210" s="3" t="n">
        <v>815</v>
      </c>
      <c r="K210" s="3">
        <f>ROUND(C210/I210*100,2)</f>
        <v/>
      </c>
      <c r="L210" s="3" t="n">
        <v>54</v>
      </c>
      <c r="M210" s="3" t="n">
        <v>43</v>
      </c>
      <c r="N210" s="3" t="n">
        <v>97</v>
      </c>
      <c r="O210" s="3">
        <f>ROUND(N210/J210*100,2)</f>
        <v/>
      </c>
      <c r="P210" s="3">
        <f>6242.50</f>
        <v/>
      </c>
      <c r="Q210" s="3">
        <f>ROUND(P210/H210,2)</f>
        <v/>
      </c>
      <c r="R210" s="3">
        <f>IF(K210&gt;0,ROUND(H210/K210,2),999)</f>
        <v/>
      </c>
      <c r="S210" s="3" t="inlineStr">
        <is>
          <t>Pantry</t>
        </is>
      </c>
      <c r="T210" s="3" t="n">
        <v>416</v>
      </c>
      <c r="U210" s="3" t="n">
        <v>103</v>
      </c>
      <c r="V210" s="3" t="n">
        <v>5533</v>
      </c>
      <c r="W210" s="2" t="inlineStr">
        <is>
          <t>Test of lifestyle content format underperforming, discontinued.</t>
        </is>
      </c>
    </row>
    <row r="211">
      <c r="A211" s="4" t="inlineStr">
        <is>
          <t>2024-07-28</t>
        </is>
      </c>
      <c r="B211" s="4" t="inlineStr">
        <is>
          <t>Sunday</t>
        </is>
      </c>
      <c r="C211" s="4" t="n">
        <v>30</v>
      </c>
      <c r="D211" s="4" t="n">
        <v>7</v>
      </c>
      <c r="E211" s="4" t="n">
        <v>3</v>
      </c>
      <c r="F211" s="4" t="inlineStr">
        <is>
          <t>Summer</t>
        </is>
      </c>
      <c r="G211" s="4" t="inlineStr">
        <is>
          <t>Scale</t>
        </is>
      </c>
      <c r="H211" s="5">
        <f>1297.65</f>
        <v/>
      </c>
      <c r="I211" s="5" t="n">
        <v>15295</v>
      </c>
      <c r="J211" s="5" t="n">
        <v>408</v>
      </c>
      <c r="K211" s="5">
        <f>ROUND(C211/I211*100,2)</f>
        <v/>
      </c>
      <c r="L211" s="5" t="n">
        <v>29</v>
      </c>
      <c r="M211" s="5" t="n">
        <v>14</v>
      </c>
      <c r="N211" s="5" t="n">
        <v>43</v>
      </c>
      <c r="O211" s="5">
        <f>ROUND(N211/J211*100,2)</f>
        <v/>
      </c>
      <c r="P211" s="5">
        <f>2403.86</f>
        <v/>
      </c>
      <c r="Q211" s="5">
        <f>ROUND(P211/H211,2)</f>
        <v/>
      </c>
      <c r="R211" s="5">
        <f>IF(K211&gt;0,ROUND(H211/K211,2),999)</f>
        <v/>
      </c>
      <c r="S211" s="5" t="inlineStr">
        <is>
          <t>Meal Kit</t>
        </is>
      </c>
      <c r="T211" s="5" t="n">
        <v>187</v>
      </c>
      <c r="U211" s="5" t="n">
        <v>64</v>
      </c>
      <c r="V211" s="5" t="n">
        <v>2265</v>
      </c>
      <c r="W211" s="4" t="inlineStr">
        <is>
          <t>YouTube pre-roll tested with product demo creatives.</t>
        </is>
      </c>
    </row>
    <row r="212">
      <c r="A212" s="2" t="inlineStr">
        <is>
          <t>2024-07-29</t>
        </is>
      </c>
      <c r="B212" s="2" t="inlineStr">
        <is>
          <t>Monday</t>
        </is>
      </c>
      <c r="C212" s="2" t="n">
        <v>31</v>
      </c>
      <c r="D212" s="2" t="n">
        <v>7</v>
      </c>
      <c r="E212" s="2" t="n">
        <v>3</v>
      </c>
      <c r="F212" s="2" t="inlineStr">
        <is>
          <t>Summer</t>
        </is>
      </c>
      <c r="G212" s="2" t="inlineStr">
        <is>
          <t>Scale</t>
        </is>
      </c>
      <c r="H212" s="3">
        <f>1608.60</f>
        <v/>
      </c>
      <c r="I212" s="3" t="n">
        <v>18321</v>
      </c>
      <c r="J212" s="3" t="n">
        <v>487</v>
      </c>
      <c r="K212" s="3">
        <f>ROUND(C212/I212*100,2)</f>
        <v/>
      </c>
      <c r="L212" s="3" t="n">
        <v>29</v>
      </c>
      <c r="M212" s="3" t="n">
        <v>22</v>
      </c>
      <c r="N212" s="3" t="n">
        <v>51</v>
      </c>
      <c r="O212" s="3">
        <f>ROUND(N212/J212*100,2)</f>
        <v/>
      </c>
      <c r="P212" s="3">
        <f>2351.84</f>
        <v/>
      </c>
      <c r="Q212" s="3">
        <f>ROUND(P212/H212,2)</f>
        <v/>
      </c>
      <c r="R212" s="3">
        <f>IF(K212&gt;0,ROUND(H212/K212,2),999)</f>
        <v/>
      </c>
      <c r="S212" s="3" t="inlineStr">
        <is>
          <t>Pantry</t>
        </is>
      </c>
      <c r="T212" s="3" t="n">
        <v>326</v>
      </c>
      <c r="U212" s="3" t="n">
        <v>82</v>
      </c>
      <c r="V212" s="3" t="n">
        <v>5131</v>
      </c>
      <c r="W212" s="2" t="inlineStr">
        <is>
          <t>YouTube pre-roll tested with product demo creatives.</t>
        </is>
      </c>
    </row>
    <row r="213">
      <c r="A213" s="4" t="inlineStr">
        <is>
          <t>2024-07-30</t>
        </is>
      </c>
      <c r="B213" s="4" t="inlineStr">
        <is>
          <t>Tuesday</t>
        </is>
      </c>
      <c r="C213" s="4" t="n">
        <v>31</v>
      </c>
      <c r="D213" s="4" t="n">
        <v>7</v>
      </c>
      <c r="E213" s="4" t="n">
        <v>3</v>
      </c>
      <c r="F213" s="4" t="inlineStr">
        <is>
          <t>Summer</t>
        </is>
      </c>
      <c r="G213" s="4" t="inlineStr">
        <is>
          <t>Scale</t>
        </is>
      </c>
      <c r="H213" s="5">
        <f>1472.20</f>
        <v/>
      </c>
      <c r="I213" s="5" t="n">
        <v>12468</v>
      </c>
      <c r="J213" s="5" t="n">
        <v>355</v>
      </c>
      <c r="K213" s="5">
        <f>ROUND(C213/I213*100,2)</f>
        <v/>
      </c>
      <c r="L213" s="5" t="n">
        <v>19</v>
      </c>
      <c r="M213" s="5" t="n">
        <v>10</v>
      </c>
      <c r="N213" s="5" t="n">
        <v>29</v>
      </c>
      <c r="O213" s="5">
        <f>ROUND(N213/J213*100,2)</f>
        <v/>
      </c>
      <c r="P213" s="5">
        <f>1512.49</f>
        <v/>
      </c>
      <c r="Q213" s="5">
        <f>ROUND(P213/H213,2)</f>
        <v/>
      </c>
      <c r="R213" s="5">
        <f>IF(K213&gt;0,ROUND(H213/K213,2),999)</f>
        <v/>
      </c>
      <c r="S213" s="5" t="inlineStr">
        <is>
          <t>Meal Kit</t>
        </is>
      </c>
      <c r="T213" s="5" t="n">
        <v>113</v>
      </c>
      <c r="U213" s="5" t="n">
        <v>66</v>
      </c>
      <c r="V213" s="5" t="n">
        <v>4743</v>
      </c>
      <c r="W213" s="4" t="inlineStr">
        <is>
          <t>Meta lookalike audience expansion successful.</t>
        </is>
      </c>
    </row>
    <row r="214">
      <c r="A214" s="2" t="inlineStr">
        <is>
          <t>2024-07-31</t>
        </is>
      </c>
      <c r="B214" s="2" t="inlineStr">
        <is>
          <t>Wednesday</t>
        </is>
      </c>
      <c r="C214" s="2" t="n">
        <v>31</v>
      </c>
      <c r="D214" s="2" t="n">
        <v>7</v>
      </c>
      <c r="E214" s="2" t="n">
        <v>3</v>
      </c>
      <c r="F214" s="2" t="inlineStr">
        <is>
          <t>Summer</t>
        </is>
      </c>
      <c r="G214" s="2" t="inlineStr">
        <is>
          <t>Scale</t>
        </is>
      </c>
      <c r="H214" s="3">
        <f>1473.71</f>
        <v/>
      </c>
      <c r="I214" s="3" t="n">
        <v>15383</v>
      </c>
      <c r="J214" s="3" t="n">
        <v>855</v>
      </c>
      <c r="K214" s="3">
        <f>ROUND(C214/I214*100,2)</f>
        <v/>
      </c>
      <c r="L214" s="3" t="n">
        <v>60</v>
      </c>
      <c r="M214" s="3" t="n">
        <v>48</v>
      </c>
      <c r="N214" s="3" t="n">
        <v>108</v>
      </c>
      <c r="O214" s="3">
        <f>ROUND(N214/J214*100,2)</f>
        <v/>
      </c>
      <c r="P214" s="3">
        <f>5925.59</f>
        <v/>
      </c>
      <c r="Q214" s="3">
        <f>ROUND(P214/H214,2)</f>
        <v/>
      </c>
      <c r="R214" s="3">
        <f>IF(K214&gt;0,ROUND(H214/K214,2),999)</f>
        <v/>
      </c>
      <c r="S214" s="3" t="inlineStr">
        <is>
          <t>Snack Box</t>
        </is>
      </c>
      <c r="T214" s="3" t="n">
        <v>450</v>
      </c>
      <c r="U214" s="3" t="n">
        <v>81</v>
      </c>
      <c r="V214" s="3" t="n">
        <v>1787</v>
      </c>
      <c r="W214" s="2" t="inlineStr">
        <is>
          <t>YouTube pre-roll tested with product demo creatives.</t>
        </is>
      </c>
    </row>
    <row r="215">
      <c r="A215" s="4" t="inlineStr">
        <is>
          <t>2024-08-01</t>
        </is>
      </c>
      <c r="B215" s="4" t="inlineStr">
        <is>
          <t>Thursday</t>
        </is>
      </c>
      <c r="C215" s="4" t="n">
        <v>31</v>
      </c>
      <c r="D215" s="4" t="n">
        <v>8</v>
      </c>
      <c r="E215" s="4" t="n">
        <v>3</v>
      </c>
      <c r="F215" s="4" t="inlineStr">
        <is>
          <t>Summer</t>
        </is>
      </c>
      <c r="G215" s="4" t="inlineStr">
        <is>
          <t>Scale</t>
        </is>
      </c>
      <c r="H215" s="5">
        <f>1854.97</f>
        <v/>
      </c>
      <c r="I215" s="5" t="n">
        <v>18067</v>
      </c>
      <c r="J215" s="5" t="n">
        <v>472</v>
      </c>
      <c r="K215" s="5">
        <f>ROUND(C215/I215*100,2)</f>
        <v/>
      </c>
      <c r="L215" s="5" t="n">
        <v>27</v>
      </c>
      <c r="M215" s="5" t="n">
        <v>16</v>
      </c>
      <c r="N215" s="5" t="n">
        <v>43</v>
      </c>
      <c r="O215" s="5">
        <f>ROUND(N215/J215*100,2)</f>
        <v/>
      </c>
      <c r="P215" s="5">
        <f>2314.27</f>
        <v/>
      </c>
      <c r="Q215" s="5">
        <f>ROUND(P215/H215,2)</f>
        <v/>
      </c>
      <c r="R215" s="5">
        <f>IF(K215&gt;0,ROUND(H215/K215,2),999)</f>
        <v/>
      </c>
      <c r="S215" s="5" t="inlineStr">
        <is>
          <t>Meal Kit</t>
        </is>
      </c>
      <c r="T215" s="5" t="n">
        <v>219</v>
      </c>
      <c r="U215" s="5" t="n">
        <v>27</v>
      </c>
      <c r="V215" s="5" t="n">
        <v>5115</v>
      </c>
      <c r="W215" s="4" t="inlineStr">
        <is>
          <t>Organic search volume spike due to influencer mention.</t>
        </is>
      </c>
    </row>
    <row r="216">
      <c r="A216" s="2" t="inlineStr">
        <is>
          <t>2024-08-02</t>
        </is>
      </c>
      <c r="B216" s="2" t="inlineStr">
        <is>
          <t>Friday</t>
        </is>
      </c>
      <c r="C216" s="2" t="n">
        <v>31</v>
      </c>
      <c r="D216" s="2" t="n">
        <v>8</v>
      </c>
      <c r="E216" s="2" t="n">
        <v>3</v>
      </c>
      <c r="F216" s="2" t="inlineStr">
        <is>
          <t>Summer</t>
        </is>
      </c>
      <c r="G216" s="2" t="inlineStr">
        <is>
          <t>Scale</t>
        </is>
      </c>
      <c r="H216" s="3">
        <f>1435.67</f>
        <v/>
      </c>
      <c r="I216" s="3" t="n">
        <v>12180</v>
      </c>
      <c r="J216" s="3" t="n">
        <v>381</v>
      </c>
      <c r="K216" s="3">
        <f>ROUND(C216/I216*100,2)</f>
        <v/>
      </c>
      <c r="L216" s="3" t="n">
        <v>35</v>
      </c>
      <c r="M216" s="3" t="n">
        <v>12</v>
      </c>
      <c r="N216" s="3" t="n">
        <v>47</v>
      </c>
      <c r="O216" s="3">
        <f>ROUND(N216/J216*100,2)</f>
        <v/>
      </c>
      <c r="P216" s="3">
        <f>2560.98</f>
        <v/>
      </c>
      <c r="Q216" s="3">
        <f>ROUND(P216/H216,2)</f>
        <v/>
      </c>
      <c r="R216" s="3">
        <f>IF(K216&gt;0,ROUND(H216/K216,2),999)</f>
        <v/>
      </c>
      <c r="S216" s="3" t="inlineStr">
        <is>
          <t>Snack Box</t>
        </is>
      </c>
      <c r="T216" s="3" t="n">
        <v>139</v>
      </c>
      <c r="U216" s="3" t="n">
        <v>31</v>
      </c>
      <c r="V216" s="3" t="n">
        <v>4381</v>
      </c>
      <c r="W216" s="2" t="inlineStr">
        <is>
          <t>Tuesday peak for email nurture campaigns.</t>
        </is>
      </c>
    </row>
    <row r="217">
      <c r="A217" s="4" t="inlineStr">
        <is>
          <t>2024-08-03</t>
        </is>
      </c>
      <c r="B217" s="4" t="inlineStr">
        <is>
          <t>Saturday</t>
        </is>
      </c>
      <c r="C217" s="4" t="n">
        <v>31</v>
      </c>
      <c r="D217" s="4" t="n">
        <v>8</v>
      </c>
      <c r="E217" s="4" t="n">
        <v>3</v>
      </c>
      <c r="F217" s="4" t="inlineStr">
        <is>
          <t>Summer</t>
        </is>
      </c>
      <c r="G217" s="4" t="inlineStr">
        <is>
          <t>Scale</t>
        </is>
      </c>
      <c r="H217" s="5">
        <f>1190.26</f>
        <v/>
      </c>
      <c r="I217" s="5" t="n">
        <v>12582</v>
      </c>
      <c r="J217" s="5" t="n">
        <v>308</v>
      </c>
      <c r="K217" s="5">
        <f>ROUND(C217/I217*100,2)</f>
        <v/>
      </c>
      <c r="L217" s="5" t="n">
        <v>23</v>
      </c>
      <c r="M217" s="5" t="n">
        <v>8</v>
      </c>
      <c r="N217" s="5" t="n">
        <v>31</v>
      </c>
      <c r="O217" s="5">
        <f>ROUND(N217/J217*100,2)</f>
        <v/>
      </c>
      <c r="P217" s="5">
        <f>1680.69</f>
        <v/>
      </c>
      <c r="Q217" s="5">
        <f>ROUND(P217/H217,2)</f>
        <v/>
      </c>
      <c r="R217" s="5">
        <f>IF(K217&gt;0,ROUND(H217/K217,2),999)</f>
        <v/>
      </c>
      <c r="S217" s="5" t="inlineStr">
        <is>
          <t>Meal Kit</t>
        </is>
      </c>
      <c r="T217" s="5" t="n">
        <v>233</v>
      </c>
      <c r="U217" s="5" t="n">
        <v>31</v>
      </c>
      <c r="V217" s="5" t="n">
        <v>3838</v>
      </c>
      <c r="W217" s="4" t="inlineStr">
        <is>
          <t>Strong Friday engagement, peak subscription signups.</t>
        </is>
      </c>
    </row>
    <row r="218">
      <c r="A218" s="2" t="inlineStr">
        <is>
          <t>2024-08-04</t>
        </is>
      </c>
      <c r="B218" s="2" t="inlineStr">
        <is>
          <t>Sunday</t>
        </is>
      </c>
      <c r="C218" s="2" t="n">
        <v>31</v>
      </c>
      <c r="D218" s="2" t="n">
        <v>8</v>
      </c>
      <c r="E218" s="2" t="n">
        <v>3</v>
      </c>
      <c r="F218" s="2" t="inlineStr">
        <is>
          <t>Summer</t>
        </is>
      </c>
      <c r="G218" s="2" t="inlineStr">
        <is>
          <t>Scale</t>
        </is>
      </c>
      <c r="H218" s="3">
        <f>1042.88</f>
        <v/>
      </c>
      <c r="I218" s="3" t="n">
        <v>10221</v>
      </c>
      <c r="J218" s="3" t="n">
        <v>583</v>
      </c>
      <c r="K218" s="3">
        <f>ROUND(C218/I218*100,2)</f>
        <v/>
      </c>
      <c r="L218" s="3" t="n">
        <v>35</v>
      </c>
      <c r="M218" s="3" t="n">
        <v>32</v>
      </c>
      <c r="N218" s="3" t="n">
        <v>67</v>
      </c>
      <c r="O218" s="3">
        <f>ROUND(N218/J218*100,2)</f>
        <v/>
      </c>
      <c r="P218" s="3">
        <f>3369.15</f>
        <v/>
      </c>
      <c r="Q218" s="3">
        <f>ROUND(P218/H218,2)</f>
        <v/>
      </c>
      <c r="R218" s="3">
        <f>IF(K218&gt;0,ROUND(H218/K218,2),999)</f>
        <v/>
      </c>
      <c r="S218" s="3" t="inlineStr">
        <is>
          <t>Snack Box</t>
        </is>
      </c>
      <c r="T218" s="3" t="n">
        <v>239</v>
      </c>
      <c r="U218" s="3" t="n">
        <v>46</v>
      </c>
      <c r="V218" s="3" t="n">
        <v>1879</v>
      </c>
      <c r="W218" s="2" t="inlineStr">
        <is>
          <t>Email list fatigue evident, segment optimization recommended.</t>
        </is>
      </c>
    </row>
    <row r="219">
      <c r="A219" s="4" t="inlineStr">
        <is>
          <t>2024-08-05</t>
        </is>
      </c>
      <c r="B219" s="4" t="inlineStr">
        <is>
          <t>Monday</t>
        </is>
      </c>
      <c r="C219" s="4" t="n">
        <v>32</v>
      </c>
      <c r="D219" s="4" t="n">
        <v>8</v>
      </c>
      <c r="E219" s="4" t="n">
        <v>3</v>
      </c>
      <c r="F219" s="4" t="inlineStr">
        <is>
          <t>Summer</t>
        </is>
      </c>
      <c r="G219" s="4" t="inlineStr">
        <is>
          <t>Scale</t>
        </is>
      </c>
      <c r="H219" s="5">
        <f>1478.09</f>
        <v/>
      </c>
      <c r="I219" s="5" t="n">
        <v>21569</v>
      </c>
      <c r="J219" s="5" t="n">
        <v>1598</v>
      </c>
      <c r="K219" s="5">
        <f>ROUND(C219/I219*100,2)</f>
        <v/>
      </c>
      <c r="L219" s="5" t="n">
        <v>146</v>
      </c>
      <c r="M219" s="5" t="n">
        <v>80</v>
      </c>
      <c r="N219" s="5" t="n">
        <v>226</v>
      </c>
      <c r="O219" s="5">
        <f>ROUND(N219/J219*100,2)</f>
        <v/>
      </c>
      <c r="P219" s="5">
        <f>11391.89</f>
        <v/>
      </c>
      <c r="Q219" s="5">
        <f>ROUND(P219/H219,2)</f>
        <v/>
      </c>
      <c r="R219" s="5">
        <f>IF(K219&gt;0,ROUND(H219/K219,2),999)</f>
        <v/>
      </c>
      <c r="S219" s="5" t="inlineStr">
        <is>
          <t>Meal Kit</t>
        </is>
      </c>
      <c r="T219" s="5" t="n">
        <v>611</v>
      </c>
      <c r="U219" s="5" t="n">
        <v>397</v>
      </c>
      <c r="V219" s="5" t="n">
        <v>7602</v>
      </c>
      <c r="W219" s="4" t="inlineStr">
        <is>
          <t>Weather-dependent category performance noted.</t>
        </is>
      </c>
    </row>
    <row r="220">
      <c r="A220" s="2" t="inlineStr">
        <is>
          <t>2024-08-06</t>
        </is>
      </c>
      <c r="B220" s="2" t="inlineStr">
        <is>
          <t>Tuesday</t>
        </is>
      </c>
      <c r="C220" s="2" t="n">
        <v>32</v>
      </c>
      <c r="D220" s="2" t="n">
        <v>8</v>
      </c>
      <c r="E220" s="2" t="n">
        <v>3</v>
      </c>
      <c r="F220" s="2" t="inlineStr">
        <is>
          <t>Summer</t>
        </is>
      </c>
      <c r="G220" s="2" t="inlineStr">
        <is>
          <t>Scale</t>
        </is>
      </c>
      <c r="H220" s="3">
        <f>1874.60</f>
        <v/>
      </c>
      <c r="I220" s="3" t="n">
        <v>25424</v>
      </c>
      <c r="J220" s="3" t="n">
        <v>1285</v>
      </c>
      <c r="K220" s="3">
        <f>ROUND(C220/I220*100,2)</f>
        <v/>
      </c>
      <c r="L220" s="3" t="n">
        <v>147</v>
      </c>
      <c r="M220" s="3" t="n">
        <v>72</v>
      </c>
      <c r="N220" s="3" t="n">
        <v>219</v>
      </c>
      <c r="O220" s="3">
        <f>ROUND(N220/J220*100,2)</f>
        <v/>
      </c>
      <c r="P220" s="3">
        <f>12648.96</f>
        <v/>
      </c>
      <c r="Q220" s="3">
        <f>ROUND(P220/H220,2)</f>
        <v/>
      </c>
      <c r="R220" s="3">
        <f>IF(K220&gt;0,ROUND(H220/K220,2),999)</f>
        <v/>
      </c>
      <c r="S220" s="3" t="inlineStr">
        <is>
          <t>Snack Box</t>
        </is>
      </c>
      <c r="T220" s="3" t="n">
        <v>576</v>
      </c>
      <c r="U220" s="3" t="n">
        <v>153</v>
      </c>
      <c r="V220" s="3" t="n">
        <v>8473</v>
      </c>
      <c r="W220" s="2" t="inlineStr">
        <is>
          <t>Subscription retention improving month-over-month.</t>
        </is>
      </c>
    </row>
    <row r="221">
      <c r="A221" s="4" t="inlineStr">
        <is>
          <t>2024-08-07</t>
        </is>
      </c>
      <c r="B221" s="4" t="inlineStr">
        <is>
          <t>Wednesday</t>
        </is>
      </c>
      <c r="C221" s="4" t="n">
        <v>32</v>
      </c>
      <c r="D221" s="4" t="n">
        <v>8</v>
      </c>
      <c r="E221" s="4" t="n">
        <v>3</v>
      </c>
      <c r="F221" s="4" t="inlineStr">
        <is>
          <t>Summer</t>
        </is>
      </c>
      <c r="G221" s="4" t="inlineStr">
        <is>
          <t>Scale</t>
        </is>
      </c>
      <c r="H221" s="5">
        <f>1727.15</f>
        <v/>
      </c>
      <c r="I221" s="5" t="n">
        <v>14595</v>
      </c>
      <c r="J221" s="5" t="n">
        <v>446</v>
      </c>
      <c r="K221" s="5">
        <f>ROUND(C221/I221*100,2)</f>
        <v/>
      </c>
      <c r="L221" s="5" t="n">
        <v>36</v>
      </c>
      <c r="M221" s="5" t="n">
        <v>23</v>
      </c>
      <c r="N221" s="5" t="n">
        <v>59</v>
      </c>
      <c r="O221" s="5">
        <f>ROUND(N221/J221*100,2)</f>
        <v/>
      </c>
      <c r="P221" s="5">
        <f>2695.74</f>
        <v/>
      </c>
      <c r="Q221" s="5">
        <f>ROUND(P221/H221,2)</f>
        <v/>
      </c>
      <c r="R221" s="5">
        <f>IF(K221&gt;0,ROUND(H221/K221,2),999)</f>
        <v/>
      </c>
      <c r="S221" s="5" t="inlineStr">
        <is>
          <t>Snack Box</t>
        </is>
      </c>
      <c r="T221" s="5" t="n">
        <v>228</v>
      </c>
      <c r="U221" s="5" t="n">
        <v>58</v>
      </c>
      <c r="V221" s="5" t="n">
        <v>3178</v>
      </c>
      <c r="W221" s="4" t="inlineStr">
        <is>
          <t>Weather-dependent category performance noted.</t>
        </is>
      </c>
    </row>
    <row r="222">
      <c r="A222" s="2" t="inlineStr">
        <is>
          <t>2024-08-08</t>
        </is>
      </c>
      <c r="B222" s="2" t="inlineStr">
        <is>
          <t>Thursday</t>
        </is>
      </c>
      <c r="C222" s="2" t="n">
        <v>32</v>
      </c>
      <c r="D222" s="2" t="n">
        <v>8</v>
      </c>
      <c r="E222" s="2" t="n">
        <v>3</v>
      </c>
      <c r="F222" s="2" t="inlineStr">
        <is>
          <t>Summer</t>
        </is>
      </c>
      <c r="G222" s="2" t="inlineStr">
        <is>
          <t>Scale</t>
        </is>
      </c>
      <c r="H222" s="3">
        <f>1599.63</f>
        <v/>
      </c>
      <c r="I222" s="3" t="n">
        <v>16054</v>
      </c>
      <c r="J222" s="3" t="n">
        <v>553</v>
      </c>
      <c r="K222" s="3">
        <f>ROUND(C222/I222*100,2)</f>
        <v/>
      </c>
      <c r="L222" s="3" t="n">
        <v>31</v>
      </c>
      <c r="M222" s="3" t="n">
        <v>20</v>
      </c>
      <c r="N222" s="3" t="n">
        <v>51</v>
      </c>
      <c r="O222" s="3">
        <f>ROUND(N222/J222*100,2)</f>
        <v/>
      </c>
      <c r="P222" s="3">
        <f>2723.02</f>
        <v/>
      </c>
      <c r="Q222" s="3">
        <f>ROUND(P222/H222,2)</f>
        <v/>
      </c>
      <c r="R222" s="3">
        <f>IF(K222&gt;0,ROUND(H222/K222,2),999)</f>
        <v/>
      </c>
      <c r="S222" s="3" t="inlineStr">
        <is>
          <t>Pantry</t>
        </is>
      </c>
      <c r="T222" s="3" t="n">
        <v>252</v>
      </c>
      <c r="U222" s="3" t="n">
        <v>29</v>
      </c>
      <c r="V222" s="3" t="n">
        <v>4813</v>
      </c>
      <c r="W222" s="2" t="inlineStr">
        <is>
          <t>Competitor promotion detected, reduced CPA achieved through optimization.</t>
        </is>
      </c>
    </row>
    <row r="223">
      <c r="A223" s="4" t="inlineStr">
        <is>
          <t>2024-08-09</t>
        </is>
      </c>
      <c r="B223" s="4" t="inlineStr">
        <is>
          <t>Friday</t>
        </is>
      </c>
      <c r="C223" s="4" t="n">
        <v>32</v>
      </c>
      <c r="D223" s="4" t="n">
        <v>8</v>
      </c>
      <c r="E223" s="4" t="n">
        <v>3</v>
      </c>
      <c r="F223" s="4" t="inlineStr">
        <is>
          <t>Summer</t>
        </is>
      </c>
      <c r="G223" s="4" t="inlineStr">
        <is>
          <t>Scale</t>
        </is>
      </c>
      <c r="H223" s="5">
        <f>1491.19</f>
        <v/>
      </c>
      <c r="I223" s="5" t="n">
        <v>14642</v>
      </c>
      <c r="J223" s="5" t="n">
        <v>817</v>
      </c>
      <c r="K223" s="5">
        <f>ROUND(C223/I223*100,2)</f>
        <v/>
      </c>
      <c r="L223" s="5" t="n">
        <v>67</v>
      </c>
      <c r="M223" s="5" t="n">
        <v>24</v>
      </c>
      <c r="N223" s="5" t="n">
        <v>91</v>
      </c>
      <c r="O223" s="5">
        <f>ROUND(N223/J223*100,2)</f>
        <v/>
      </c>
      <c r="P223" s="5">
        <f>5202.62</f>
        <v/>
      </c>
      <c r="Q223" s="5">
        <f>ROUND(P223/H223,2)</f>
        <v/>
      </c>
      <c r="R223" s="5">
        <f>IF(K223&gt;0,ROUND(H223/K223,2),999)</f>
        <v/>
      </c>
      <c r="S223" s="5" t="inlineStr">
        <is>
          <t>Meal Kit</t>
        </is>
      </c>
      <c r="T223" s="5" t="n">
        <v>436</v>
      </c>
      <c r="U223" s="5" t="n">
        <v>194</v>
      </c>
      <c r="V223" s="5" t="n">
        <v>4382</v>
      </c>
      <c r="W223" s="4" t="inlineStr">
        <is>
          <t>Subscription retention improving month-over-month.</t>
        </is>
      </c>
    </row>
    <row r="224">
      <c r="A224" s="2" t="inlineStr">
        <is>
          <t>2024-08-10</t>
        </is>
      </c>
      <c r="B224" s="2" t="inlineStr">
        <is>
          <t>Saturday</t>
        </is>
      </c>
      <c r="C224" s="2" t="n">
        <v>32</v>
      </c>
      <c r="D224" s="2" t="n">
        <v>8</v>
      </c>
      <c r="E224" s="2" t="n">
        <v>3</v>
      </c>
      <c r="F224" s="2" t="inlineStr">
        <is>
          <t>Summer</t>
        </is>
      </c>
      <c r="G224" s="2" t="inlineStr">
        <is>
          <t>Scale</t>
        </is>
      </c>
      <c r="H224" s="3">
        <f>1263.58</f>
        <v/>
      </c>
      <c r="I224" s="3" t="n">
        <v>17850</v>
      </c>
      <c r="J224" s="3" t="n">
        <v>662</v>
      </c>
      <c r="K224" s="3">
        <f>ROUND(C224/I224*100,2)</f>
        <v/>
      </c>
      <c r="L224" s="3" t="n">
        <v>65</v>
      </c>
      <c r="M224" s="3" t="n">
        <v>13</v>
      </c>
      <c r="N224" s="3" t="n">
        <v>78</v>
      </c>
      <c r="O224" s="3">
        <f>ROUND(N224/J224*100,2)</f>
        <v/>
      </c>
      <c r="P224" s="3">
        <f>3861.65</f>
        <v/>
      </c>
      <c r="Q224" s="3">
        <f>ROUND(P224/H224,2)</f>
        <v/>
      </c>
      <c r="R224" s="3">
        <f>IF(K224&gt;0,ROUND(H224/K224,2),999)</f>
        <v/>
      </c>
      <c r="S224" s="3" t="inlineStr">
        <is>
          <t>Pantry</t>
        </is>
      </c>
      <c r="T224" s="3" t="n">
        <v>319</v>
      </c>
      <c r="U224" s="3" t="n">
        <v>123</v>
      </c>
      <c r="V224" s="3" t="n">
        <v>4869</v>
      </c>
      <c r="W224" s="2" t="inlineStr">
        <is>
          <t>Weather-dependent category performance noted.</t>
        </is>
      </c>
    </row>
    <row r="225">
      <c r="A225" s="4" t="inlineStr">
        <is>
          <t>2024-08-11</t>
        </is>
      </c>
      <c r="B225" s="4" t="inlineStr">
        <is>
          <t>Sunday</t>
        </is>
      </c>
      <c r="C225" s="4" t="n">
        <v>32</v>
      </c>
      <c r="D225" s="4" t="n">
        <v>8</v>
      </c>
      <c r="E225" s="4" t="n">
        <v>3</v>
      </c>
      <c r="F225" s="4" t="inlineStr">
        <is>
          <t>Summer</t>
        </is>
      </c>
      <c r="G225" s="4" t="inlineStr">
        <is>
          <t>Scale</t>
        </is>
      </c>
      <c r="H225" s="5">
        <f>1277.55</f>
        <v/>
      </c>
      <c r="I225" s="5" t="n">
        <v>18780</v>
      </c>
      <c r="J225" s="5" t="n">
        <v>528</v>
      </c>
      <c r="K225" s="5">
        <f>ROUND(C225/I225*100,2)</f>
        <v/>
      </c>
      <c r="L225" s="5" t="n">
        <v>60</v>
      </c>
      <c r="M225" s="5" t="n">
        <v>30</v>
      </c>
      <c r="N225" s="5" t="n">
        <v>90</v>
      </c>
      <c r="O225" s="5">
        <f>ROUND(N225/J225*100,2)</f>
        <v/>
      </c>
      <c r="P225" s="5">
        <f>5020.30</f>
        <v/>
      </c>
      <c r="Q225" s="5">
        <f>ROUND(P225/H225,2)</f>
        <v/>
      </c>
      <c r="R225" s="5">
        <f>IF(K225&gt;0,ROUND(H225/K225,2),999)</f>
        <v/>
      </c>
      <c r="S225" s="5" t="inlineStr">
        <is>
          <t>Meal Kit</t>
        </is>
      </c>
      <c r="T225" s="5" t="n">
        <v>238</v>
      </c>
      <c r="U225" s="5" t="n">
        <v>129</v>
      </c>
      <c r="V225" s="5" t="n">
        <v>4870</v>
      </c>
      <c r="W225" s="4" t="inlineStr">
        <is>
          <t>Email list fatigue evident, segment optimization recommended.</t>
        </is>
      </c>
    </row>
    <row r="226">
      <c r="A226" s="2" t="inlineStr">
        <is>
          <t>2024-08-12</t>
        </is>
      </c>
      <c r="B226" s="2" t="inlineStr">
        <is>
          <t>Monday</t>
        </is>
      </c>
      <c r="C226" s="2" t="n">
        <v>33</v>
      </c>
      <c r="D226" s="2" t="n">
        <v>8</v>
      </c>
      <c r="E226" s="2" t="n">
        <v>3</v>
      </c>
      <c r="F226" s="2" t="inlineStr">
        <is>
          <t>Summer</t>
        </is>
      </c>
      <c r="G226" s="2" t="inlineStr">
        <is>
          <t>Scale</t>
        </is>
      </c>
      <c r="H226" s="3">
        <f>1605.42</f>
        <v/>
      </c>
      <c r="I226" s="3" t="n">
        <v>15701</v>
      </c>
      <c r="J226" s="3" t="n">
        <v>1238</v>
      </c>
      <c r="K226" s="3">
        <f>ROUND(C226/I226*100,2)</f>
        <v/>
      </c>
      <c r="L226" s="3" t="n">
        <v>105</v>
      </c>
      <c r="M226" s="3" t="n">
        <v>57</v>
      </c>
      <c r="N226" s="3" t="n">
        <v>162</v>
      </c>
      <c r="O226" s="3">
        <f>ROUND(N226/J226*100,2)</f>
        <v/>
      </c>
      <c r="P226" s="3">
        <f>8299.70</f>
        <v/>
      </c>
      <c r="Q226" s="3">
        <f>ROUND(P226/H226,2)</f>
        <v/>
      </c>
      <c r="R226" s="3">
        <f>IF(K226&gt;0,ROUND(H226/K226,2),999)</f>
        <v/>
      </c>
      <c r="S226" s="3" t="inlineStr">
        <is>
          <t>Meal Kit</t>
        </is>
      </c>
      <c r="T226" s="3" t="n">
        <v>823</v>
      </c>
      <c r="U226" s="3" t="n">
        <v>194</v>
      </c>
      <c r="V226" s="3" t="n">
        <v>2390</v>
      </c>
      <c r="W226" s="2" t="inlineStr">
        <is>
          <t>Tuesday peak for email nurture campaigns.</t>
        </is>
      </c>
    </row>
    <row r="227">
      <c r="A227" s="4" t="inlineStr">
        <is>
          <t>2024-08-13</t>
        </is>
      </c>
      <c r="B227" s="4" t="inlineStr">
        <is>
          <t>Tuesday</t>
        </is>
      </c>
      <c r="C227" s="4" t="n">
        <v>33</v>
      </c>
      <c r="D227" s="4" t="n">
        <v>8</v>
      </c>
      <c r="E227" s="4" t="n">
        <v>3</v>
      </c>
      <c r="F227" s="4" t="inlineStr">
        <is>
          <t>Summer</t>
        </is>
      </c>
      <c r="G227" s="4" t="inlineStr">
        <is>
          <t>Scale</t>
        </is>
      </c>
      <c r="H227" s="5">
        <f>1553.92</f>
        <v/>
      </c>
      <c r="I227" s="5" t="n">
        <v>17342</v>
      </c>
      <c r="J227" s="5" t="n">
        <v>1119</v>
      </c>
      <c r="K227" s="5">
        <f>ROUND(C227/I227*100,2)</f>
        <v/>
      </c>
      <c r="L227" s="5" t="n">
        <v>124</v>
      </c>
      <c r="M227" s="5" t="n">
        <v>28</v>
      </c>
      <c r="N227" s="5" t="n">
        <v>152</v>
      </c>
      <c r="O227" s="5">
        <f>ROUND(N227/J227*100,2)</f>
        <v/>
      </c>
      <c r="P227" s="5">
        <f>8393.71</f>
        <v/>
      </c>
      <c r="Q227" s="5">
        <f>ROUND(P227/H227,2)</f>
        <v/>
      </c>
      <c r="R227" s="5">
        <f>IF(K227&gt;0,ROUND(H227/K227,2),999)</f>
        <v/>
      </c>
      <c r="S227" s="5" t="inlineStr">
        <is>
          <t>Pantry</t>
        </is>
      </c>
      <c r="T227" s="5" t="n">
        <v>579</v>
      </c>
      <c r="U227" s="5" t="n">
        <v>70</v>
      </c>
      <c r="V227" s="5" t="n">
        <v>3747</v>
      </c>
      <c r="W227" s="4" t="inlineStr">
        <is>
          <t>Budget reallocation to top-performing Google Shopping ads.</t>
        </is>
      </c>
    </row>
    <row r="228">
      <c r="A228" s="2" t="inlineStr">
        <is>
          <t>2024-08-14</t>
        </is>
      </c>
      <c r="B228" s="2" t="inlineStr">
        <is>
          <t>Wednesday</t>
        </is>
      </c>
      <c r="C228" s="2" t="n">
        <v>33</v>
      </c>
      <c r="D228" s="2" t="n">
        <v>8</v>
      </c>
      <c r="E228" s="2" t="n">
        <v>3</v>
      </c>
      <c r="F228" s="2" t="inlineStr">
        <is>
          <t>Summer</t>
        </is>
      </c>
      <c r="G228" s="2" t="inlineStr">
        <is>
          <t>Scale</t>
        </is>
      </c>
      <c r="H228" s="3">
        <f>1474.38</f>
        <v/>
      </c>
      <c r="I228" s="3" t="n">
        <v>19142</v>
      </c>
      <c r="J228" s="3" t="n">
        <v>439</v>
      </c>
      <c r="K228" s="3">
        <f>ROUND(C228/I228*100,2)</f>
        <v/>
      </c>
      <c r="L228" s="3" t="n">
        <v>34</v>
      </c>
      <c r="M228" s="3" t="n">
        <v>22</v>
      </c>
      <c r="N228" s="3" t="n">
        <v>56</v>
      </c>
      <c r="O228" s="3">
        <f>ROUND(N228/J228*100,2)</f>
        <v/>
      </c>
      <c r="P228" s="3">
        <f>3122.53</f>
        <v/>
      </c>
      <c r="Q228" s="3">
        <f>ROUND(P228/H228,2)</f>
        <v/>
      </c>
      <c r="R228" s="3">
        <f>IF(K228&gt;0,ROUND(H228/K228,2),999)</f>
        <v/>
      </c>
      <c r="S228" s="3" t="inlineStr">
        <is>
          <t>Snack Box</t>
        </is>
      </c>
      <c r="T228" s="3" t="n">
        <v>152</v>
      </c>
      <c r="U228" s="3" t="n">
        <v>47</v>
      </c>
      <c r="V228" s="3" t="n">
        <v>2624</v>
      </c>
      <c r="W228" s="2" t="inlineStr">
        <is>
          <t>Tuesday peak for email nurture campaigns.</t>
        </is>
      </c>
    </row>
    <row r="229">
      <c r="A229" s="4" t="inlineStr">
        <is>
          <t>2024-08-15</t>
        </is>
      </c>
      <c r="B229" s="4" t="inlineStr">
        <is>
          <t>Thursday</t>
        </is>
      </c>
      <c r="C229" s="4" t="n">
        <v>33</v>
      </c>
      <c r="D229" s="4" t="n">
        <v>8</v>
      </c>
      <c r="E229" s="4" t="n">
        <v>3</v>
      </c>
      <c r="F229" s="4" t="inlineStr">
        <is>
          <t>Summer</t>
        </is>
      </c>
      <c r="G229" s="4" t="inlineStr">
        <is>
          <t>Scale</t>
        </is>
      </c>
      <c r="H229" s="5">
        <f>1526.96</f>
        <v/>
      </c>
      <c r="I229" s="5" t="n">
        <v>12464</v>
      </c>
      <c r="J229" s="5" t="n">
        <v>647</v>
      </c>
      <c r="K229" s="5">
        <f>ROUND(C229/I229*100,2)</f>
        <v/>
      </c>
      <c r="L229" s="5" t="n">
        <v>57</v>
      </c>
      <c r="M229" s="5" t="n">
        <v>17</v>
      </c>
      <c r="N229" s="5" t="n">
        <v>74</v>
      </c>
      <c r="O229" s="5">
        <f>ROUND(N229/J229*100,2)</f>
        <v/>
      </c>
      <c r="P229" s="5">
        <f>3797.31</f>
        <v/>
      </c>
      <c r="Q229" s="5">
        <f>ROUND(P229/H229,2)</f>
        <v/>
      </c>
      <c r="R229" s="5">
        <f>IF(K229&gt;0,ROUND(H229/K229,2),999)</f>
        <v/>
      </c>
      <c r="S229" s="5" t="inlineStr">
        <is>
          <t>Snack Box</t>
        </is>
      </c>
      <c r="T229" s="5" t="n">
        <v>461</v>
      </c>
      <c r="U229" s="5" t="n">
        <v>111</v>
      </c>
      <c r="V229" s="5" t="n">
        <v>2700</v>
      </c>
      <c r="W229" s="4" t="inlineStr">
        <is>
          <t>New customer acquisition cost declining with better audience targeting.</t>
        </is>
      </c>
    </row>
    <row r="230">
      <c r="A230" s="2" t="inlineStr">
        <is>
          <t>2024-08-16</t>
        </is>
      </c>
      <c r="B230" s="2" t="inlineStr">
        <is>
          <t>Friday</t>
        </is>
      </c>
      <c r="C230" s="2" t="n">
        <v>33</v>
      </c>
      <c r="D230" s="2" t="n">
        <v>8</v>
      </c>
      <c r="E230" s="2" t="n">
        <v>3</v>
      </c>
      <c r="F230" s="2" t="inlineStr">
        <is>
          <t>Summer</t>
        </is>
      </c>
      <c r="G230" s="2" t="inlineStr">
        <is>
          <t>Scale</t>
        </is>
      </c>
      <c r="H230" s="3">
        <f>1667.69</f>
        <v/>
      </c>
      <c r="I230" s="3" t="n">
        <v>15971</v>
      </c>
      <c r="J230" s="3" t="n">
        <v>1193</v>
      </c>
      <c r="K230" s="3">
        <f>ROUND(C230/I230*100,2)</f>
        <v/>
      </c>
      <c r="L230" s="3" t="n">
        <v>92</v>
      </c>
      <c r="M230" s="3" t="n">
        <v>38</v>
      </c>
      <c r="N230" s="3" t="n">
        <v>130</v>
      </c>
      <c r="O230" s="3">
        <f>ROUND(N230/J230*100,2)</f>
        <v/>
      </c>
      <c r="P230" s="3">
        <f>7545.00</f>
        <v/>
      </c>
      <c r="Q230" s="3">
        <f>ROUND(P230/H230,2)</f>
        <v/>
      </c>
      <c r="R230" s="3">
        <f>IF(K230&gt;0,ROUND(H230/K230,2),999)</f>
        <v/>
      </c>
      <c r="S230" s="3" t="inlineStr">
        <is>
          <t>Pantry</t>
        </is>
      </c>
      <c r="T230" s="3" t="n">
        <v>373</v>
      </c>
      <c r="U230" s="3" t="n">
        <v>216</v>
      </c>
      <c r="V230" s="3" t="n">
        <v>1641</v>
      </c>
      <c r="W230" s="2" t="inlineStr">
        <is>
          <t>YouTube pre-roll tested with product demo creatives.</t>
        </is>
      </c>
    </row>
    <row r="231">
      <c r="A231" s="4" t="inlineStr">
        <is>
          <t>2024-08-17</t>
        </is>
      </c>
      <c r="B231" s="4" t="inlineStr">
        <is>
          <t>Saturday</t>
        </is>
      </c>
      <c r="C231" s="4" t="n">
        <v>33</v>
      </c>
      <c r="D231" s="4" t="n">
        <v>8</v>
      </c>
      <c r="E231" s="4" t="n">
        <v>3</v>
      </c>
      <c r="F231" s="4" t="inlineStr">
        <is>
          <t>Summer</t>
        </is>
      </c>
      <c r="G231" s="4" t="inlineStr">
        <is>
          <t>Scale</t>
        </is>
      </c>
      <c r="H231" s="5">
        <f>1181.70</f>
        <v/>
      </c>
      <c r="I231" s="5" t="n">
        <v>9690</v>
      </c>
      <c r="J231" s="5" t="n">
        <v>402</v>
      </c>
      <c r="K231" s="5">
        <f>ROUND(C231/I231*100,2)</f>
        <v/>
      </c>
      <c r="L231" s="5" t="n">
        <v>33</v>
      </c>
      <c r="M231" s="5" t="n">
        <v>19</v>
      </c>
      <c r="N231" s="5" t="n">
        <v>52</v>
      </c>
      <c r="O231" s="5">
        <f>ROUND(N231/J231*100,2)</f>
        <v/>
      </c>
      <c r="P231" s="5">
        <f>2766.60</f>
        <v/>
      </c>
      <c r="Q231" s="5">
        <f>ROUND(P231/H231,2)</f>
        <v/>
      </c>
      <c r="R231" s="5">
        <f>IF(K231&gt;0,ROUND(H231/K231,2),999)</f>
        <v/>
      </c>
      <c r="S231" s="5" t="inlineStr">
        <is>
          <t>Snack Box</t>
        </is>
      </c>
      <c r="T231" s="5" t="n">
        <v>194</v>
      </c>
      <c r="U231" s="5" t="n">
        <v>95</v>
      </c>
      <c r="V231" s="5" t="n">
        <v>1806</v>
      </c>
      <c r="W231" s="4" t="inlineStr">
        <is>
          <t>Strong Friday engagement, peak subscription signups.</t>
        </is>
      </c>
    </row>
    <row r="232">
      <c r="A232" s="2" t="inlineStr">
        <is>
          <t>2024-08-18</t>
        </is>
      </c>
      <c r="B232" s="2" t="inlineStr">
        <is>
          <t>Sunday</t>
        </is>
      </c>
      <c r="C232" s="2" t="n">
        <v>33</v>
      </c>
      <c r="D232" s="2" t="n">
        <v>8</v>
      </c>
      <c r="E232" s="2" t="n">
        <v>3</v>
      </c>
      <c r="F232" s="2" t="inlineStr">
        <is>
          <t>Summer</t>
        </is>
      </c>
      <c r="G232" s="2" t="inlineStr">
        <is>
          <t>Scale</t>
        </is>
      </c>
      <c r="H232" s="3">
        <f>1140.27</f>
        <v/>
      </c>
      <c r="I232" s="3" t="n">
        <v>16561</v>
      </c>
      <c r="J232" s="3" t="n">
        <v>579</v>
      </c>
      <c r="K232" s="3">
        <f>ROUND(C232/I232*100,2)</f>
        <v/>
      </c>
      <c r="L232" s="3" t="n">
        <v>35</v>
      </c>
      <c r="M232" s="3" t="n">
        <v>33</v>
      </c>
      <c r="N232" s="3" t="n">
        <v>68</v>
      </c>
      <c r="O232" s="3">
        <f>ROUND(N232/J232*100,2)</f>
        <v/>
      </c>
      <c r="P232" s="3">
        <f>3270.62</f>
        <v/>
      </c>
      <c r="Q232" s="3">
        <f>ROUND(P232/H232,2)</f>
        <v/>
      </c>
      <c r="R232" s="3">
        <f>IF(K232&gt;0,ROUND(H232/K232,2),999)</f>
        <v/>
      </c>
      <c r="S232" s="3" t="inlineStr">
        <is>
          <t>Meal Kit</t>
        </is>
      </c>
      <c r="T232" s="3" t="n">
        <v>377</v>
      </c>
      <c r="U232" s="3" t="n">
        <v>42</v>
      </c>
      <c r="V232" s="3" t="n">
        <v>3111</v>
      </c>
      <c r="W232" s="2" t="inlineStr">
        <is>
          <t>Bundle promotion resonating with families segment.</t>
        </is>
      </c>
    </row>
    <row r="233">
      <c r="A233" s="4" t="inlineStr">
        <is>
          <t>2024-08-19</t>
        </is>
      </c>
      <c r="B233" s="4" t="inlineStr">
        <is>
          <t>Monday</t>
        </is>
      </c>
      <c r="C233" s="4" t="n">
        <v>34</v>
      </c>
      <c r="D233" s="4" t="n">
        <v>8</v>
      </c>
      <c r="E233" s="4" t="n">
        <v>3</v>
      </c>
      <c r="F233" s="4" t="inlineStr">
        <is>
          <t>Summer</t>
        </is>
      </c>
      <c r="G233" s="4" t="inlineStr">
        <is>
          <t>Scale</t>
        </is>
      </c>
      <c r="H233" s="5">
        <f>1758.89</f>
        <v/>
      </c>
      <c r="I233" s="5" t="n">
        <v>22114</v>
      </c>
      <c r="J233" s="5" t="n">
        <v>445</v>
      </c>
      <c r="K233" s="5">
        <f>ROUND(C233/I233*100,2)</f>
        <v/>
      </c>
      <c r="L233" s="5" t="n">
        <v>45</v>
      </c>
      <c r="M233" s="5" t="n">
        <v>17</v>
      </c>
      <c r="N233" s="5" t="n">
        <v>62</v>
      </c>
      <c r="O233" s="5">
        <f>ROUND(N233/J233*100,2)</f>
        <v/>
      </c>
      <c r="P233" s="5">
        <f>2922.50</f>
        <v/>
      </c>
      <c r="Q233" s="5">
        <f>ROUND(P233/H233,2)</f>
        <v/>
      </c>
      <c r="R233" s="5">
        <f>IF(K233&gt;0,ROUND(H233/K233,2),999)</f>
        <v/>
      </c>
      <c r="S233" s="5" t="inlineStr">
        <is>
          <t>Pantry</t>
        </is>
      </c>
      <c r="T233" s="5" t="n">
        <v>322</v>
      </c>
      <c r="U233" s="5" t="n">
        <v>79</v>
      </c>
      <c r="V233" s="5" t="n">
        <v>3114</v>
      </c>
      <c r="W233" s="4" t="inlineStr">
        <is>
          <t>Tuesday peak for email nurture campaigns.</t>
        </is>
      </c>
    </row>
    <row r="234">
      <c r="A234" s="2" t="inlineStr">
        <is>
          <t>2024-08-20</t>
        </is>
      </c>
      <c r="B234" s="2" t="inlineStr">
        <is>
          <t>Tuesday</t>
        </is>
      </c>
      <c r="C234" s="2" t="n">
        <v>34</v>
      </c>
      <c r="D234" s="2" t="n">
        <v>8</v>
      </c>
      <c r="E234" s="2" t="n">
        <v>3</v>
      </c>
      <c r="F234" s="2" t="inlineStr">
        <is>
          <t>Summer</t>
        </is>
      </c>
      <c r="G234" s="2" t="inlineStr">
        <is>
          <t>Scale</t>
        </is>
      </c>
      <c r="H234" s="3">
        <f>1860.45</f>
        <v/>
      </c>
      <c r="I234" s="3" t="n">
        <v>15623</v>
      </c>
      <c r="J234" s="3" t="n">
        <v>514</v>
      </c>
      <c r="K234" s="3">
        <f>ROUND(C234/I234*100,2)</f>
        <v/>
      </c>
      <c r="L234" s="3" t="n">
        <v>46</v>
      </c>
      <c r="M234" s="3" t="n">
        <v>30</v>
      </c>
      <c r="N234" s="3" t="n">
        <v>76</v>
      </c>
      <c r="O234" s="3">
        <f>ROUND(N234/J234*100,2)</f>
        <v/>
      </c>
      <c r="P234" s="3">
        <f>3846.10</f>
        <v/>
      </c>
      <c r="Q234" s="3">
        <f>ROUND(P234/H234,2)</f>
        <v/>
      </c>
      <c r="R234" s="3">
        <f>IF(K234&gt;0,ROUND(H234/K234,2),999)</f>
        <v/>
      </c>
      <c r="S234" s="3" t="inlineStr">
        <is>
          <t>Snack Box</t>
        </is>
      </c>
      <c r="T234" s="3" t="n">
        <v>234</v>
      </c>
      <c r="U234" s="3" t="n">
        <v>26</v>
      </c>
      <c r="V234" s="3" t="n">
        <v>5272</v>
      </c>
      <c r="W234" s="2" t="inlineStr">
        <is>
          <t>Budget reallocation to top-performing Google Shopping ads.</t>
        </is>
      </c>
    </row>
    <row r="235">
      <c r="A235" s="4" t="inlineStr">
        <is>
          <t>2024-08-21</t>
        </is>
      </c>
      <c r="B235" s="4" t="inlineStr">
        <is>
          <t>Wednesday</t>
        </is>
      </c>
      <c r="C235" s="4" t="n">
        <v>34</v>
      </c>
      <c r="D235" s="4" t="n">
        <v>8</v>
      </c>
      <c r="E235" s="4" t="n">
        <v>3</v>
      </c>
      <c r="F235" s="4" t="inlineStr">
        <is>
          <t>Summer</t>
        </is>
      </c>
      <c r="G235" s="4" t="inlineStr">
        <is>
          <t>Scale</t>
        </is>
      </c>
      <c r="H235" s="5">
        <f>1628.00</f>
        <v/>
      </c>
      <c r="I235" s="5" t="n">
        <v>23635</v>
      </c>
      <c r="J235" s="5" t="n">
        <v>787</v>
      </c>
      <c r="K235" s="5">
        <f>ROUND(C235/I235*100,2)</f>
        <v/>
      </c>
      <c r="L235" s="5" t="n">
        <v>77</v>
      </c>
      <c r="M235" s="5" t="n">
        <v>41</v>
      </c>
      <c r="N235" s="5" t="n">
        <v>118</v>
      </c>
      <c r="O235" s="5">
        <f>ROUND(N235/J235*100,2)</f>
        <v/>
      </c>
      <c r="P235" s="5">
        <f>5310.62</f>
        <v/>
      </c>
      <c r="Q235" s="5">
        <f>ROUND(P235/H235,2)</f>
        <v/>
      </c>
      <c r="R235" s="5">
        <f>IF(K235&gt;0,ROUND(H235/K235,2),999)</f>
        <v/>
      </c>
      <c r="S235" s="5" t="inlineStr">
        <is>
          <t>Pantry</t>
        </is>
      </c>
      <c r="T235" s="5" t="n">
        <v>527</v>
      </c>
      <c r="U235" s="5" t="n">
        <v>132</v>
      </c>
      <c r="V235" s="5" t="n">
        <v>3813</v>
      </c>
      <c r="W235" s="4" t="inlineStr">
        <is>
          <t>Budget reallocation to top-performing Google Shopping ads.</t>
        </is>
      </c>
    </row>
    <row r="236">
      <c r="A236" s="2" t="inlineStr">
        <is>
          <t>2024-08-22</t>
        </is>
      </c>
      <c r="B236" s="2" t="inlineStr">
        <is>
          <t>Thursday</t>
        </is>
      </c>
      <c r="C236" s="2" t="n">
        <v>34</v>
      </c>
      <c r="D236" s="2" t="n">
        <v>8</v>
      </c>
      <c r="E236" s="2" t="n">
        <v>3</v>
      </c>
      <c r="F236" s="2" t="inlineStr">
        <is>
          <t>Summer</t>
        </is>
      </c>
      <c r="G236" s="2" t="inlineStr">
        <is>
          <t>Scale</t>
        </is>
      </c>
      <c r="H236" s="3">
        <f>1625.07</f>
        <v/>
      </c>
      <c r="I236" s="3" t="n">
        <v>13736</v>
      </c>
      <c r="J236" s="3" t="n">
        <v>572</v>
      </c>
      <c r="K236" s="3">
        <f>ROUND(C236/I236*100,2)</f>
        <v/>
      </c>
      <c r="L236" s="3" t="n">
        <v>37</v>
      </c>
      <c r="M236" s="3" t="n">
        <v>21</v>
      </c>
      <c r="N236" s="3" t="n">
        <v>58</v>
      </c>
      <c r="O236" s="3">
        <f>ROUND(N236/J236*100,2)</f>
        <v/>
      </c>
      <c r="P236" s="3">
        <f>2616.04</f>
        <v/>
      </c>
      <c r="Q236" s="3">
        <f>ROUND(P236/H236,2)</f>
        <v/>
      </c>
      <c r="R236" s="3">
        <f>IF(K236&gt;0,ROUND(H236/K236,2),999)</f>
        <v/>
      </c>
      <c r="S236" s="3" t="inlineStr">
        <is>
          <t>Meal Kit</t>
        </is>
      </c>
      <c r="T236" s="3" t="n">
        <v>294</v>
      </c>
      <c r="U236" s="3" t="n">
        <v>99</v>
      </c>
      <c r="V236" s="3" t="n">
        <v>3181</v>
      </c>
      <c r="W236" s="2" t="inlineStr">
        <is>
          <t>Bundle promotion resonating with families segment.</t>
        </is>
      </c>
    </row>
    <row r="237">
      <c r="A237" s="4" t="inlineStr">
        <is>
          <t>2024-08-23</t>
        </is>
      </c>
      <c r="B237" s="4" t="inlineStr">
        <is>
          <t>Friday</t>
        </is>
      </c>
      <c r="C237" s="4" t="n">
        <v>34</v>
      </c>
      <c r="D237" s="4" t="n">
        <v>8</v>
      </c>
      <c r="E237" s="4" t="n">
        <v>3</v>
      </c>
      <c r="F237" s="4" t="inlineStr">
        <is>
          <t>Summer</t>
        </is>
      </c>
      <c r="G237" s="4" t="inlineStr">
        <is>
          <t>Scale</t>
        </is>
      </c>
      <c r="H237" s="5">
        <f>1619.76</f>
        <v/>
      </c>
      <c r="I237" s="5" t="n">
        <v>17476</v>
      </c>
      <c r="J237" s="5" t="n">
        <v>1374</v>
      </c>
      <c r="K237" s="5">
        <f>ROUND(C237/I237*100,2)</f>
        <v/>
      </c>
      <c r="L237" s="5" t="n">
        <v>71</v>
      </c>
      <c r="M237" s="5" t="n">
        <v>67</v>
      </c>
      <c r="N237" s="5" t="n">
        <v>138</v>
      </c>
      <c r="O237" s="5">
        <f>ROUND(N237/J237*100,2)</f>
        <v/>
      </c>
      <c r="P237" s="5">
        <f>8218.94</f>
        <v/>
      </c>
      <c r="Q237" s="5">
        <f>ROUND(P237/H237,2)</f>
        <v/>
      </c>
      <c r="R237" s="5">
        <f>IF(K237&gt;0,ROUND(H237/K237,2),999)</f>
        <v/>
      </c>
      <c r="S237" s="5" t="inlineStr">
        <is>
          <t>Pantry</t>
        </is>
      </c>
      <c r="T237" s="5" t="n">
        <v>420</v>
      </c>
      <c r="U237" s="5" t="n">
        <v>312</v>
      </c>
      <c r="V237" s="5" t="n">
        <v>3282</v>
      </c>
      <c r="W237" s="4" t="inlineStr">
        <is>
          <t>Subscription retention improving month-over-month.</t>
        </is>
      </c>
    </row>
    <row r="238">
      <c r="A238" s="2" t="inlineStr">
        <is>
          <t>2024-08-24</t>
        </is>
      </c>
      <c r="B238" s="2" t="inlineStr">
        <is>
          <t>Saturday</t>
        </is>
      </c>
      <c r="C238" s="2" t="n">
        <v>34</v>
      </c>
      <c r="D238" s="2" t="n">
        <v>8</v>
      </c>
      <c r="E238" s="2" t="n">
        <v>3</v>
      </c>
      <c r="F238" s="2" t="inlineStr">
        <is>
          <t>Summer</t>
        </is>
      </c>
      <c r="G238" s="2" t="inlineStr">
        <is>
          <t>Scale</t>
        </is>
      </c>
      <c r="H238" s="3">
        <f>1270.35</f>
        <v/>
      </c>
      <c r="I238" s="3" t="n">
        <v>14281</v>
      </c>
      <c r="J238" s="3" t="n">
        <v>932</v>
      </c>
      <c r="K238" s="3">
        <f>ROUND(C238/I238*100,2)</f>
        <v/>
      </c>
      <c r="L238" s="3" t="n">
        <v>58</v>
      </c>
      <c r="M238" s="3" t="n">
        <v>37</v>
      </c>
      <c r="N238" s="3" t="n">
        <v>95</v>
      </c>
      <c r="O238" s="3">
        <f>ROUND(N238/J238*100,2)</f>
        <v/>
      </c>
      <c r="P238" s="3">
        <f>6139.16</f>
        <v/>
      </c>
      <c r="Q238" s="3">
        <f>ROUND(P238/H238,2)</f>
        <v/>
      </c>
      <c r="R238" s="3">
        <f>IF(K238&gt;0,ROUND(H238/K238,2),999)</f>
        <v/>
      </c>
      <c r="S238" s="3" t="inlineStr">
        <is>
          <t>Pantry</t>
        </is>
      </c>
      <c r="T238" s="3" t="n">
        <v>586</v>
      </c>
      <c r="U238" s="3" t="n">
        <v>104</v>
      </c>
      <c r="V238" s="3" t="n">
        <v>2877</v>
      </c>
      <c r="W238" s="2" t="inlineStr">
        <is>
          <t>Budget reallocation to top-performing Google Shopping ads.</t>
        </is>
      </c>
    </row>
    <row r="239">
      <c r="A239" s="4" t="inlineStr">
        <is>
          <t>2024-08-25</t>
        </is>
      </c>
      <c r="B239" s="4" t="inlineStr">
        <is>
          <t>Sunday</t>
        </is>
      </c>
      <c r="C239" s="4" t="n">
        <v>34</v>
      </c>
      <c r="D239" s="4" t="n">
        <v>8</v>
      </c>
      <c r="E239" s="4" t="n">
        <v>3</v>
      </c>
      <c r="F239" s="4" t="inlineStr">
        <is>
          <t>Summer</t>
        </is>
      </c>
      <c r="G239" s="4" t="inlineStr">
        <is>
          <t>Scale</t>
        </is>
      </c>
      <c r="H239" s="5">
        <f>1211.71</f>
        <v/>
      </c>
      <c r="I239" s="5" t="n">
        <v>14636</v>
      </c>
      <c r="J239" s="5" t="n">
        <v>992</v>
      </c>
      <c r="K239" s="5">
        <f>ROUND(C239/I239*100,2)</f>
        <v/>
      </c>
      <c r="L239" s="5" t="n">
        <v>72</v>
      </c>
      <c r="M239" s="5" t="n">
        <v>48</v>
      </c>
      <c r="N239" s="5" t="n">
        <v>120</v>
      </c>
      <c r="O239" s="5">
        <f>ROUND(N239/J239*100,2)</f>
        <v/>
      </c>
      <c r="P239" s="5">
        <f>6141.69</f>
        <v/>
      </c>
      <c r="Q239" s="5">
        <f>ROUND(P239/H239,2)</f>
        <v/>
      </c>
      <c r="R239" s="5">
        <f>IF(K239&gt;0,ROUND(H239/K239,2),999)</f>
        <v/>
      </c>
      <c r="S239" s="5" t="inlineStr">
        <is>
          <t>Snack Box</t>
        </is>
      </c>
      <c r="T239" s="5" t="n">
        <v>445</v>
      </c>
      <c r="U239" s="5" t="n">
        <v>106</v>
      </c>
      <c r="V239" s="5" t="n">
        <v>3798</v>
      </c>
      <c r="W239" s="4" t="inlineStr">
        <is>
          <t>High-intent keyword performance exceeding benchmarks.</t>
        </is>
      </c>
    </row>
    <row r="240">
      <c r="A240" s="2" t="inlineStr">
        <is>
          <t>2024-08-26</t>
        </is>
      </c>
      <c r="B240" s="2" t="inlineStr">
        <is>
          <t>Monday</t>
        </is>
      </c>
      <c r="C240" s="2" t="n">
        <v>35</v>
      </c>
      <c r="D240" s="2" t="n">
        <v>8</v>
      </c>
      <c r="E240" s="2" t="n">
        <v>3</v>
      </c>
      <c r="F240" s="2" t="inlineStr">
        <is>
          <t>Summer</t>
        </is>
      </c>
      <c r="G240" s="2" t="inlineStr">
        <is>
          <t>Scale</t>
        </is>
      </c>
      <c r="H240" s="3">
        <f>1685.71</f>
        <v/>
      </c>
      <c r="I240" s="3" t="n">
        <v>16442</v>
      </c>
      <c r="J240" s="3" t="n">
        <v>466</v>
      </c>
      <c r="K240" s="3">
        <f>ROUND(C240/I240*100,2)</f>
        <v/>
      </c>
      <c r="L240" s="3" t="n">
        <v>47</v>
      </c>
      <c r="M240" s="3" t="n">
        <v>12</v>
      </c>
      <c r="N240" s="3" t="n">
        <v>59</v>
      </c>
      <c r="O240" s="3">
        <f>ROUND(N240/J240*100,2)</f>
        <v/>
      </c>
      <c r="P240" s="3">
        <f>3391.13</f>
        <v/>
      </c>
      <c r="Q240" s="3">
        <f>ROUND(P240/H240,2)</f>
        <v/>
      </c>
      <c r="R240" s="3">
        <f>IF(K240&gt;0,ROUND(H240/K240,2),999)</f>
        <v/>
      </c>
      <c r="S240" s="3" t="inlineStr">
        <is>
          <t>Snack Box</t>
        </is>
      </c>
      <c r="T240" s="3" t="n">
        <v>231</v>
      </c>
      <c r="U240" s="3" t="n">
        <v>52</v>
      </c>
      <c r="V240" s="3" t="n">
        <v>2414</v>
      </c>
      <c r="W240" s="2" t="inlineStr">
        <is>
          <t>Budget reallocation to top-performing Google Shopping ads.</t>
        </is>
      </c>
    </row>
    <row r="241">
      <c r="A241" s="4" t="inlineStr">
        <is>
          <t>2024-08-27</t>
        </is>
      </c>
      <c r="B241" s="4" t="inlineStr">
        <is>
          <t>Tuesday</t>
        </is>
      </c>
      <c r="C241" s="4" t="n">
        <v>35</v>
      </c>
      <c r="D241" s="4" t="n">
        <v>8</v>
      </c>
      <c r="E241" s="4" t="n">
        <v>3</v>
      </c>
      <c r="F241" s="4" t="inlineStr">
        <is>
          <t>Summer</t>
        </is>
      </c>
      <c r="G241" s="4" t="inlineStr">
        <is>
          <t>Scale</t>
        </is>
      </c>
      <c r="H241" s="5">
        <f>1720.53</f>
        <v/>
      </c>
      <c r="I241" s="5" t="n">
        <v>15555</v>
      </c>
      <c r="J241" s="5" t="n">
        <v>736</v>
      </c>
      <c r="K241" s="5">
        <f>ROUND(C241/I241*100,2)</f>
        <v/>
      </c>
      <c r="L241" s="5" t="n">
        <v>41</v>
      </c>
      <c r="M241" s="5" t="n">
        <v>42</v>
      </c>
      <c r="N241" s="5" t="n">
        <v>83</v>
      </c>
      <c r="O241" s="5">
        <f>ROUND(N241/J241*100,2)</f>
        <v/>
      </c>
      <c r="P241" s="5">
        <f>4892.64</f>
        <v/>
      </c>
      <c r="Q241" s="5">
        <f>ROUND(P241/H241,2)</f>
        <v/>
      </c>
      <c r="R241" s="5">
        <f>IF(K241&gt;0,ROUND(H241/K241,2),999)</f>
        <v/>
      </c>
      <c r="S241" s="5" t="inlineStr">
        <is>
          <t>Pantry</t>
        </is>
      </c>
      <c r="T241" s="5" t="n">
        <v>476</v>
      </c>
      <c r="U241" s="5" t="n">
        <v>136</v>
      </c>
      <c r="V241" s="5" t="n">
        <v>4058</v>
      </c>
      <c r="W241" s="4" t="inlineStr">
        <is>
          <t>Competitor promotion detected, reduced CPA achieved through optimization.</t>
        </is>
      </c>
    </row>
    <row r="242">
      <c r="A242" s="2" t="inlineStr">
        <is>
          <t>2024-08-28</t>
        </is>
      </c>
      <c r="B242" s="2" t="inlineStr">
        <is>
          <t>Wednesday</t>
        </is>
      </c>
      <c r="C242" s="2" t="n">
        <v>35</v>
      </c>
      <c r="D242" s="2" t="n">
        <v>8</v>
      </c>
      <c r="E242" s="2" t="n">
        <v>3</v>
      </c>
      <c r="F242" s="2" t="inlineStr">
        <is>
          <t>Summer</t>
        </is>
      </c>
      <c r="G242" s="2" t="inlineStr">
        <is>
          <t>Scale</t>
        </is>
      </c>
      <c r="H242" s="3">
        <f>1816.01</f>
        <v/>
      </c>
      <c r="I242" s="3" t="n">
        <v>19165</v>
      </c>
      <c r="J242" s="3" t="n">
        <v>1149</v>
      </c>
      <c r="K242" s="3">
        <f>ROUND(C242/I242*100,2)</f>
        <v/>
      </c>
      <c r="L242" s="3" t="n">
        <v>107</v>
      </c>
      <c r="M242" s="3" t="n">
        <v>23</v>
      </c>
      <c r="N242" s="3" t="n">
        <v>130</v>
      </c>
      <c r="O242" s="3">
        <f>ROUND(N242/J242*100,2)</f>
        <v/>
      </c>
      <c r="P242" s="3">
        <f>7859.17</f>
        <v/>
      </c>
      <c r="Q242" s="3">
        <f>ROUND(P242/H242,2)</f>
        <v/>
      </c>
      <c r="R242" s="3">
        <f>IF(K242&gt;0,ROUND(H242/K242,2),999)</f>
        <v/>
      </c>
      <c r="S242" s="3" t="inlineStr">
        <is>
          <t>Pantry</t>
        </is>
      </c>
      <c r="T242" s="3" t="n">
        <v>900</v>
      </c>
      <c r="U242" s="3" t="n">
        <v>59</v>
      </c>
      <c r="V242" s="3" t="n">
        <v>3754</v>
      </c>
      <c r="W242" s="2" t="inlineStr">
        <is>
          <t>Mobile conversion rate optimization showing 12% improvement.</t>
        </is>
      </c>
    </row>
    <row r="243">
      <c r="A243" s="4" t="inlineStr">
        <is>
          <t>2024-08-29</t>
        </is>
      </c>
      <c r="B243" s="4" t="inlineStr">
        <is>
          <t>Thursday</t>
        </is>
      </c>
      <c r="C243" s="4" t="n">
        <v>35</v>
      </c>
      <c r="D243" s="4" t="n">
        <v>8</v>
      </c>
      <c r="E243" s="4" t="n">
        <v>3</v>
      </c>
      <c r="F243" s="4" t="inlineStr">
        <is>
          <t>Summer</t>
        </is>
      </c>
      <c r="G243" s="4" t="inlineStr">
        <is>
          <t>Scale</t>
        </is>
      </c>
      <c r="H243" s="5">
        <f>1796.62</f>
        <v/>
      </c>
      <c r="I243" s="5" t="n">
        <v>25153</v>
      </c>
      <c r="J243" s="5" t="n">
        <v>659</v>
      </c>
      <c r="K243" s="5">
        <f>ROUND(C243/I243*100,2)</f>
        <v/>
      </c>
      <c r="L243" s="5" t="n">
        <v>46</v>
      </c>
      <c r="M243" s="5" t="n">
        <v>13</v>
      </c>
      <c r="N243" s="5" t="n">
        <v>59</v>
      </c>
      <c r="O243" s="5">
        <f>ROUND(N243/J243*100,2)</f>
        <v/>
      </c>
      <c r="P243" s="5">
        <f>3473.06</f>
        <v/>
      </c>
      <c r="Q243" s="5">
        <f>ROUND(P243/H243,2)</f>
        <v/>
      </c>
      <c r="R243" s="5">
        <f>IF(K243&gt;0,ROUND(H243/K243,2),999)</f>
        <v/>
      </c>
      <c r="S243" s="5" t="inlineStr">
        <is>
          <t>Snack Box</t>
        </is>
      </c>
      <c r="T243" s="5" t="n">
        <v>464</v>
      </c>
      <c r="U243" s="5" t="n">
        <v>82</v>
      </c>
      <c r="V243" s="5" t="n">
        <v>7105</v>
      </c>
      <c r="W243" s="4" t="inlineStr">
        <is>
          <t>Tuesday peak for email nurture campaigns.</t>
        </is>
      </c>
    </row>
    <row r="244">
      <c r="A244" s="2" t="inlineStr">
        <is>
          <t>2024-08-30</t>
        </is>
      </c>
      <c r="B244" s="2" t="inlineStr">
        <is>
          <t>Friday</t>
        </is>
      </c>
      <c r="C244" s="2" t="n">
        <v>35</v>
      </c>
      <c r="D244" s="2" t="n">
        <v>8</v>
      </c>
      <c r="E244" s="2" t="n">
        <v>3</v>
      </c>
      <c r="F244" s="2" t="inlineStr">
        <is>
          <t>Summer</t>
        </is>
      </c>
      <c r="G244" s="2" t="inlineStr">
        <is>
          <t>Scale</t>
        </is>
      </c>
      <c r="H244" s="3">
        <f>1691.72</f>
        <v/>
      </c>
      <c r="I244" s="3" t="n">
        <v>19985</v>
      </c>
      <c r="J244" s="3" t="n">
        <v>506</v>
      </c>
      <c r="K244" s="3">
        <f>ROUND(C244/I244*100,2)</f>
        <v/>
      </c>
      <c r="L244" s="3" t="n">
        <v>58</v>
      </c>
      <c r="M244" s="3" t="n">
        <v>20</v>
      </c>
      <c r="N244" s="3" t="n">
        <v>78</v>
      </c>
      <c r="O244" s="3">
        <f>ROUND(N244/J244*100,2)</f>
        <v/>
      </c>
      <c r="P244" s="3">
        <f>4216.60</f>
        <v/>
      </c>
      <c r="Q244" s="3">
        <f>ROUND(P244/H244,2)</f>
        <v/>
      </c>
      <c r="R244" s="3">
        <f>IF(K244&gt;0,ROUND(H244/K244,2),999)</f>
        <v/>
      </c>
      <c r="S244" s="3" t="inlineStr">
        <is>
          <t>Pantry</t>
        </is>
      </c>
      <c r="T244" s="3" t="n">
        <v>172</v>
      </c>
      <c r="U244" s="3" t="n">
        <v>73</v>
      </c>
      <c r="V244" s="3" t="n">
        <v>3415</v>
      </c>
      <c r="W244" s="2" t="inlineStr">
        <is>
          <t>Strong Friday engagement, peak subscription signups.</t>
        </is>
      </c>
    </row>
    <row r="245">
      <c r="A245" s="4" t="inlineStr">
        <is>
          <t>2024-08-31</t>
        </is>
      </c>
      <c r="B245" s="4" t="inlineStr">
        <is>
          <t>Saturday</t>
        </is>
      </c>
      <c r="C245" s="4" t="n">
        <v>35</v>
      </c>
      <c r="D245" s="4" t="n">
        <v>8</v>
      </c>
      <c r="E245" s="4" t="n">
        <v>3</v>
      </c>
      <c r="F245" s="4" t="inlineStr">
        <is>
          <t>Summer</t>
        </is>
      </c>
      <c r="G245" s="4" t="inlineStr">
        <is>
          <t>Scale</t>
        </is>
      </c>
      <c r="H245" s="5">
        <f>1274.08</f>
        <v/>
      </c>
      <c r="I245" s="5" t="n">
        <v>18626</v>
      </c>
      <c r="J245" s="5" t="n">
        <v>887</v>
      </c>
      <c r="K245" s="5">
        <f>ROUND(C245/I245*100,2)</f>
        <v/>
      </c>
      <c r="L245" s="5" t="n">
        <v>55</v>
      </c>
      <c r="M245" s="5" t="n">
        <v>30</v>
      </c>
      <c r="N245" s="5" t="n">
        <v>85</v>
      </c>
      <c r="O245" s="5">
        <f>ROUND(N245/J245*100,2)</f>
        <v/>
      </c>
      <c r="P245" s="5">
        <f>4142.70</f>
        <v/>
      </c>
      <c r="Q245" s="5">
        <f>ROUND(P245/H245,2)</f>
        <v/>
      </c>
      <c r="R245" s="5">
        <f>IF(K245&gt;0,ROUND(H245/K245,2),999)</f>
        <v/>
      </c>
      <c r="S245" s="5" t="inlineStr">
        <is>
          <t>Snack Box</t>
        </is>
      </c>
      <c r="T245" s="5" t="n">
        <v>523</v>
      </c>
      <c r="U245" s="5" t="n">
        <v>220</v>
      </c>
      <c r="V245" s="5" t="n">
        <v>2783</v>
      </c>
      <c r="W245" s="4" t="inlineStr">
        <is>
          <t>Retargeting campaign paused for fatigue analysis.</t>
        </is>
      </c>
    </row>
    <row r="246">
      <c r="A246" s="2" t="inlineStr">
        <is>
          <t>2024-09-01</t>
        </is>
      </c>
      <c r="B246" s="2" t="inlineStr">
        <is>
          <t>Sunday</t>
        </is>
      </c>
      <c r="C246" s="2" t="n">
        <v>35</v>
      </c>
      <c r="D246" s="2" t="n">
        <v>9</v>
      </c>
      <c r="E246" s="2" t="n">
        <v>3</v>
      </c>
      <c r="F246" s="2" t="inlineStr">
        <is>
          <t>Fall</t>
        </is>
      </c>
      <c r="G246" s="2" t="inlineStr">
        <is>
          <t>Scale</t>
        </is>
      </c>
      <c r="H246" s="3">
        <f>1052.93</f>
        <v/>
      </c>
      <c r="I246" s="3" t="n">
        <v>12063</v>
      </c>
      <c r="J246" s="3" t="n">
        <v>277</v>
      </c>
      <c r="K246" s="3">
        <f>ROUND(C246/I246*100,2)</f>
        <v/>
      </c>
      <c r="L246" s="3" t="n">
        <v>25</v>
      </c>
      <c r="M246" s="3" t="n">
        <v>8</v>
      </c>
      <c r="N246" s="3" t="n">
        <v>33</v>
      </c>
      <c r="O246" s="3">
        <f>ROUND(N246/J246*100,2)</f>
        <v/>
      </c>
      <c r="P246" s="3">
        <f>1912.80</f>
        <v/>
      </c>
      <c r="Q246" s="3">
        <f>ROUND(P246/H246,2)</f>
        <v/>
      </c>
      <c r="R246" s="3">
        <f>IF(K246&gt;0,ROUND(H246/K246,2),999)</f>
        <v/>
      </c>
      <c r="S246" s="3" t="inlineStr">
        <is>
          <t>Meal Kit</t>
        </is>
      </c>
      <c r="T246" s="3" t="n">
        <v>206</v>
      </c>
      <c r="U246" s="3" t="n">
        <v>49</v>
      </c>
      <c r="V246" s="3" t="n">
        <v>2741</v>
      </c>
      <c r="W246" s="2" t="inlineStr">
        <is>
          <t>Test of lifestyle content format underperforming, discontinued.</t>
        </is>
      </c>
    </row>
    <row r="247">
      <c r="A247" s="4" t="inlineStr">
        <is>
          <t>2024-09-02</t>
        </is>
      </c>
      <c r="B247" s="4" t="inlineStr">
        <is>
          <t>Monday</t>
        </is>
      </c>
      <c r="C247" s="4" t="n">
        <v>36</v>
      </c>
      <c r="D247" s="4" t="n">
        <v>9</v>
      </c>
      <c r="E247" s="4" t="n">
        <v>3</v>
      </c>
      <c r="F247" s="4" t="inlineStr">
        <is>
          <t>Fall</t>
        </is>
      </c>
      <c r="G247" s="4" t="inlineStr">
        <is>
          <t>Scale</t>
        </is>
      </c>
      <c r="H247" s="5">
        <f>1430.80</f>
        <v/>
      </c>
      <c r="I247" s="5" t="n">
        <v>21421</v>
      </c>
      <c r="J247" s="5" t="n">
        <v>1108</v>
      </c>
      <c r="K247" s="5">
        <f>ROUND(C247/I247*100,2)</f>
        <v/>
      </c>
      <c r="L247" s="5" t="n">
        <v>105</v>
      </c>
      <c r="M247" s="5" t="n">
        <v>63</v>
      </c>
      <c r="N247" s="5" t="n">
        <v>168</v>
      </c>
      <c r="O247" s="5">
        <f>ROUND(N247/J247*100,2)</f>
        <v/>
      </c>
      <c r="P247" s="5">
        <f>9203.53</f>
        <v/>
      </c>
      <c r="Q247" s="5">
        <f>ROUND(P247/H247,2)</f>
        <v/>
      </c>
      <c r="R247" s="5">
        <f>IF(K247&gt;0,ROUND(H247/K247,2),999)</f>
        <v/>
      </c>
      <c r="S247" s="5" t="inlineStr">
        <is>
          <t>Meal Kit</t>
        </is>
      </c>
      <c r="T247" s="5" t="n">
        <v>601</v>
      </c>
      <c r="U247" s="5" t="n">
        <v>250</v>
      </c>
      <c r="V247" s="5" t="n">
        <v>7579</v>
      </c>
      <c r="W247" s="4" t="inlineStr">
        <is>
          <t>Subscription retention improving month-over-month.</t>
        </is>
      </c>
    </row>
    <row r="248">
      <c r="A248" s="2" t="inlineStr">
        <is>
          <t>2024-09-03</t>
        </is>
      </c>
      <c r="B248" s="2" t="inlineStr">
        <is>
          <t>Tuesday</t>
        </is>
      </c>
      <c r="C248" s="2" t="n">
        <v>36</v>
      </c>
      <c r="D248" s="2" t="n">
        <v>9</v>
      </c>
      <c r="E248" s="2" t="n">
        <v>3</v>
      </c>
      <c r="F248" s="2" t="inlineStr">
        <is>
          <t>Fall</t>
        </is>
      </c>
      <c r="G248" s="2" t="inlineStr">
        <is>
          <t>Scale</t>
        </is>
      </c>
      <c r="H248" s="3">
        <f>1551.65</f>
        <v/>
      </c>
      <c r="I248" s="3" t="n">
        <v>13194</v>
      </c>
      <c r="J248" s="3" t="n">
        <v>920</v>
      </c>
      <c r="K248" s="3">
        <f>ROUND(C248/I248*100,2)</f>
        <v/>
      </c>
      <c r="L248" s="3" t="n">
        <v>69</v>
      </c>
      <c r="M248" s="3" t="n">
        <v>34</v>
      </c>
      <c r="N248" s="3" t="n">
        <v>103</v>
      </c>
      <c r="O248" s="3">
        <f>ROUND(N248/J248*100,2)</f>
        <v/>
      </c>
      <c r="P248" s="3">
        <f>4949.17</f>
        <v/>
      </c>
      <c r="Q248" s="3">
        <f>ROUND(P248/H248,2)</f>
        <v/>
      </c>
      <c r="R248" s="3">
        <f>IF(K248&gt;0,ROUND(H248/K248,2),999)</f>
        <v/>
      </c>
      <c r="S248" s="3" t="inlineStr">
        <is>
          <t>Pantry</t>
        </is>
      </c>
      <c r="T248" s="3" t="n">
        <v>603</v>
      </c>
      <c r="U248" s="3" t="n">
        <v>85</v>
      </c>
      <c r="V248" s="3" t="n">
        <v>2417</v>
      </c>
      <c r="W248" s="2" t="inlineStr">
        <is>
          <t>Meta lookalike audience expansion successful.</t>
        </is>
      </c>
    </row>
    <row r="249">
      <c r="A249" s="4" t="inlineStr">
        <is>
          <t>2024-09-04</t>
        </is>
      </c>
      <c r="B249" s="4" t="inlineStr">
        <is>
          <t>Wednesday</t>
        </is>
      </c>
      <c r="C249" s="4" t="n">
        <v>36</v>
      </c>
      <c r="D249" s="4" t="n">
        <v>9</v>
      </c>
      <c r="E249" s="4" t="n">
        <v>3</v>
      </c>
      <c r="F249" s="4" t="inlineStr">
        <is>
          <t>Fall</t>
        </is>
      </c>
      <c r="G249" s="4" t="inlineStr">
        <is>
          <t>Scale</t>
        </is>
      </c>
      <c r="H249" s="5">
        <f>1782.81</f>
        <v/>
      </c>
      <c r="I249" s="5" t="n">
        <v>16911</v>
      </c>
      <c r="J249" s="5" t="n">
        <v>998</v>
      </c>
      <c r="K249" s="5">
        <f>ROUND(C249/I249*100,2)</f>
        <v/>
      </c>
      <c r="L249" s="5" t="n">
        <v>67</v>
      </c>
      <c r="M249" s="5" t="n">
        <v>40</v>
      </c>
      <c r="N249" s="5" t="n">
        <v>107</v>
      </c>
      <c r="O249" s="5">
        <f>ROUND(N249/J249*100,2)</f>
        <v/>
      </c>
      <c r="P249" s="5">
        <f>4833.06</f>
        <v/>
      </c>
      <c r="Q249" s="5">
        <f>ROUND(P249/H249,2)</f>
        <v/>
      </c>
      <c r="R249" s="5">
        <f>IF(K249&gt;0,ROUND(H249/K249,2),999)</f>
        <v/>
      </c>
      <c r="S249" s="5" t="inlineStr">
        <is>
          <t>Pantry</t>
        </is>
      </c>
      <c r="T249" s="5" t="n">
        <v>412</v>
      </c>
      <c r="U249" s="5" t="n">
        <v>163</v>
      </c>
      <c r="V249" s="5" t="n">
        <v>4674</v>
      </c>
      <c r="W249" s="4" t="inlineStr">
        <is>
          <t>YouTube pre-roll tested with product demo creatives.</t>
        </is>
      </c>
    </row>
    <row r="250">
      <c r="A250" s="2" t="inlineStr">
        <is>
          <t>2024-09-05</t>
        </is>
      </c>
      <c r="B250" s="2" t="inlineStr">
        <is>
          <t>Thursday</t>
        </is>
      </c>
      <c r="C250" s="2" t="n">
        <v>36</v>
      </c>
      <c r="D250" s="2" t="n">
        <v>9</v>
      </c>
      <c r="E250" s="2" t="n">
        <v>3</v>
      </c>
      <c r="F250" s="2" t="inlineStr">
        <is>
          <t>Fall</t>
        </is>
      </c>
      <c r="G250" s="2" t="inlineStr">
        <is>
          <t>Scale</t>
        </is>
      </c>
      <c r="H250" s="3">
        <f>1547.27</f>
        <v/>
      </c>
      <c r="I250" s="3" t="n">
        <v>20762</v>
      </c>
      <c r="J250" s="3" t="n">
        <v>1107</v>
      </c>
      <c r="K250" s="3">
        <f>ROUND(C250/I250*100,2)</f>
        <v/>
      </c>
      <c r="L250" s="3" t="n">
        <v>99</v>
      </c>
      <c r="M250" s="3" t="n">
        <v>42</v>
      </c>
      <c r="N250" s="3" t="n">
        <v>141</v>
      </c>
      <c r="O250" s="3">
        <f>ROUND(N250/J250*100,2)</f>
        <v/>
      </c>
      <c r="P250" s="3">
        <f>7995.62</f>
        <v/>
      </c>
      <c r="Q250" s="3">
        <f>ROUND(P250/H250,2)</f>
        <v/>
      </c>
      <c r="R250" s="3">
        <f>IF(K250&gt;0,ROUND(H250/K250,2),999)</f>
        <v/>
      </c>
      <c r="S250" s="3" t="inlineStr">
        <is>
          <t>Pantry</t>
        </is>
      </c>
      <c r="T250" s="3" t="n">
        <v>815</v>
      </c>
      <c r="U250" s="3" t="n">
        <v>213</v>
      </c>
      <c r="V250" s="3" t="n">
        <v>6471</v>
      </c>
      <c r="W250" s="2" t="inlineStr">
        <is>
          <t>YouTube pre-roll tested with product demo creatives.</t>
        </is>
      </c>
    </row>
    <row r="251">
      <c r="A251" s="4" t="inlineStr">
        <is>
          <t>2024-09-06</t>
        </is>
      </c>
      <c r="B251" s="4" t="inlineStr">
        <is>
          <t>Friday</t>
        </is>
      </c>
      <c r="C251" s="4" t="n">
        <v>36</v>
      </c>
      <c r="D251" s="4" t="n">
        <v>9</v>
      </c>
      <c r="E251" s="4" t="n">
        <v>3</v>
      </c>
      <c r="F251" s="4" t="inlineStr">
        <is>
          <t>Fall</t>
        </is>
      </c>
      <c r="G251" s="4" t="inlineStr">
        <is>
          <t>Scale</t>
        </is>
      </c>
      <c r="H251" s="5">
        <f>1865.74</f>
        <v/>
      </c>
      <c r="I251" s="5" t="n">
        <v>15023</v>
      </c>
      <c r="J251" s="5" t="n">
        <v>1063</v>
      </c>
      <c r="K251" s="5">
        <f>ROUND(C251/I251*100,2)</f>
        <v/>
      </c>
      <c r="L251" s="5" t="n">
        <v>120</v>
      </c>
      <c r="M251" s="5" t="n">
        <v>42</v>
      </c>
      <c r="N251" s="5" t="n">
        <v>162</v>
      </c>
      <c r="O251" s="5">
        <f>ROUND(N251/J251*100,2)</f>
        <v/>
      </c>
      <c r="P251" s="5">
        <f>7317.71</f>
        <v/>
      </c>
      <c r="Q251" s="5">
        <f>ROUND(P251/H251,2)</f>
        <v/>
      </c>
      <c r="R251" s="5">
        <f>IF(K251&gt;0,ROUND(H251/K251,2),999)</f>
        <v/>
      </c>
      <c r="S251" s="5" t="inlineStr">
        <is>
          <t>Meal Kit</t>
        </is>
      </c>
      <c r="T251" s="5" t="n">
        <v>653</v>
      </c>
      <c r="U251" s="5" t="n">
        <v>119</v>
      </c>
      <c r="V251" s="5" t="n">
        <v>5358</v>
      </c>
      <c r="W251" s="4" t="inlineStr">
        <is>
          <t>Competitor promotion detected, reduced CPA achieved through optimization.</t>
        </is>
      </c>
    </row>
    <row r="252">
      <c r="A252" s="2" t="inlineStr">
        <is>
          <t>2024-09-07</t>
        </is>
      </c>
      <c r="B252" s="2" t="inlineStr">
        <is>
          <t>Saturday</t>
        </is>
      </c>
      <c r="C252" s="2" t="n">
        <v>36</v>
      </c>
      <c r="D252" s="2" t="n">
        <v>9</v>
      </c>
      <c r="E252" s="2" t="n">
        <v>3</v>
      </c>
      <c r="F252" s="2" t="inlineStr">
        <is>
          <t>Fall</t>
        </is>
      </c>
      <c r="G252" s="2" t="inlineStr">
        <is>
          <t>Scale</t>
        </is>
      </c>
      <c r="H252" s="3">
        <f>1286.77</f>
        <v/>
      </c>
      <c r="I252" s="3" t="n">
        <v>11281</v>
      </c>
      <c r="J252" s="3" t="n">
        <v>732</v>
      </c>
      <c r="K252" s="3">
        <f>ROUND(C252/I252*100,2)</f>
        <v/>
      </c>
      <c r="L252" s="3" t="n">
        <v>69</v>
      </c>
      <c r="M252" s="3" t="n">
        <v>32</v>
      </c>
      <c r="N252" s="3" t="n">
        <v>101</v>
      </c>
      <c r="O252" s="3">
        <f>ROUND(N252/J252*100,2)</f>
        <v/>
      </c>
      <c r="P252" s="3">
        <f>4970.75</f>
        <v/>
      </c>
      <c r="Q252" s="3">
        <f>ROUND(P252/H252,2)</f>
        <v/>
      </c>
      <c r="R252" s="3">
        <f>IF(K252&gt;0,ROUND(H252/K252,2),999)</f>
        <v/>
      </c>
      <c r="S252" s="3" t="inlineStr">
        <is>
          <t>Snack Box</t>
        </is>
      </c>
      <c r="T252" s="3" t="n">
        <v>473</v>
      </c>
      <c r="U252" s="3" t="n">
        <v>104</v>
      </c>
      <c r="V252" s="3" t="n">
        <v>4227</v>
      </c>
      <c r="W252" s="2" t="inlineStr">
        <is>
          <t>YouTube pre-roll tested with product demo creatives.</t>
        </is>
      </c>
    </row>
    <row r="253">
      <c r="A253" s="4" t="inlineStr">
        <is>
          <t>2024-09-08</t>
        </is>
      </c>
      <c r="B253" s="4" t="inlineStr">
        <is>
          <t>Sunday</t>
        </is>
      </c>
      <c r="C253" s="4" t="n">
        <v>36</v>
      </c>
      <c r="D253" s="4" t="n">
        <v>9</v>
      </c>
      <c r="E253" s="4" t="n">
        <v>3</v>
      </c>
      <c r="F253" s="4" t="inlineStr">
        <is>
          <t>Fall</t>
        </is>
      </c>
      <c r="G253" s="4" t="inlineStr">
        <is>
          <t>Scale</t>
        </is>
      </c>
      <c r="H253" s="5">
        <f>1196.12</f>
        <v/>
      </c>
      <c r="I253" s="5" t="n">
        <v>17137</v>
      </c>
      <c r="J253" s="5" t="n">
        <v>738</v>
      </c>
      <c r="K253" s="5">
        <f>ROUND(C253/I253*100,2)</f>
        <v/>
      </c>
      <c r="L253" s="5" t="n">
        <v>52</v>
      </c>
      <c r="M253" s="5" t="n">
        <v>23</v>
      </c>
      <c r="N253" s="5" t="n">
        <v>75</v>
      </c>
      <c r="O253" s="5">
        <f>ROUND(N253/J253*100,2)</f>
        <v/>
      </c>
      <c r="P253" s="5">
        <f>3441.67</f>
        <v/>
      </c>
      <c r="Q253" s="5">
        <f>ROUND(P253/H253,2)</f>
        <v/>
      </c>
      <c r="R253" s="5">
        <f>IF(K253&gt;0,ROUND(H253/K253,2),999)</f>
        <v/>
      </c>
      <c r="S253" s="5" t="inlineStr">
        <is>
          <t>Snack Box</t>
        </is>
      </c>
      <c r="T253" s="5" t="n">
        <v>547</v>
      </c>
      <c r="U253" s="5" t="n">
        <v>171</v>
      </c>
      <c r="V253" s="5" t="n">
        <v>6456</v>
      </c>
      <c r="W253" s="4" t="inlineStr">
        <is>
          <t>Display network efficiency improved after audience refinement.</t>
        </is>
      </c>
    </row>
    <row r="254">
      <c r="A254" s="2" t="inlineStr">
        <is>
          <t>2024-09-09</t>
        </is>
      </c>
      <c r="B254" s="2" t="inlineStr">
        <is>
          <t>Monday</t>
        </is>
      </c>
      <c r="C254" s="2" t="n">
        <v>37</v>
      </c>
      <c r="D254" s="2" t="n">
        <v>9</v>
      </c>
      <c r="E254" s="2" t="n">
        <v>3</v>
      </c>
      <c r="F254" s="2" t="inlineStr">
        <is>
          <t>Fall</t>
        </is>
      </c>
      <c r="G254" s="2" t="inlineStr">
        <is>
          <t>Scale</t>
        </is>
      </c>
      <c r="H254" s="3">
        <f>1785.84</f>
        <v/>
      </c>
      <c r="I254" s="3" t="n">
        <v>22395</v>
      </c>
      <c r="J254" s="3" t="n">
        <v>1451</v>
      </c>
      <c r="K254" s="3">
        <f>ROUND(C254/I254*100,2)</f>
        <v/>
      </c>
      <c r="L254" s="3" t="n">
        <v>157</v>
      </c>
      <c r="M254" s="3" t="n">
        <v>40</v>
      </c>
      <c r="N254" s="3" t="n">
        <v>197</v>
      </c>
      <c r="O254" s="3">
        <f>ROUND(N254/J254*100,2)</f>
        <v/>
      </c>
      <c r="P254" s="3">
        <f>9579.71</f>
        <v/>
      </c>
      <c r="Q254" s="3">
        <f>ROUND(P254/H254,2)</f>
        <v/>
      </c>
      <c r="R254" s="3">
        <f>IF(K254&gt;0,ROUND(H254/K254,2),999)</f>
        <v/>
      </c>
      <c r="S254" s="3" t="inlineStr">
        <is>
          <t>Meal Kit</t>
        </is>
      </c>
      <c r="T254" s="3" t="n">
        <v>564</v>
      </c>
      <c r="U254" s="3" t="n">
        <v>86</v>
      </c>
      <c r="V254" s="3" t="n">
        <v>2925</v>
      </c>
      <c r="W254" s="2" t="inlineStr">
        <is>
          <t>Email list fatigue evident, segment optimization recommended.</t>
        </is>
      </c>
    </row>
    <row r="255">
      <c r="A255" s="4" t="inlineStr">
        <is>
          <t>2024-09-10</t>
        </is>
      </c>
      <c r="B255" s="4" t="inlineStr">
        <is>
          <t>Tuesday</t>
        </is>
      </c>
      <c r="C255" s="4" t="n">
        <v>37</v>
      </c>
      <c r="D255" s="4" t="n">
        <v>9</v>
      </c>
      <c r="E255" s="4" t="n">
        <v>3</v>
      </c>
      <c r="F255" s="4" t="inlineStr">
        <is>
          <t>Fall</t>
        </is>
      </c>
      <c r="G255" s="4" t="inlineStr">
        <is>
          <t>Scale</t>
        </is>
      </c>
      <c r="H255" s="5">
        <f>1682.26</f>
        <v/>
      </c>
      <c r="I255" s="5" t="n">
        <v>20158</v>
      </c>
      <c r="J255" s="5" t="n">
        <v>1200</v>
      </c>
      <c r="K255" s="5">
        <f>ROUND(C255/I255*100,2)</f>
        <v/>
      </c>
      <c r="L255" s="5" t="n">
        <v>81</v>
      </c>
      <c r="M255" s="5" t="n">
        <v>64</v>
      </c>
      <c r="N255" s="5" t="n">
        <v>145</v>
      </c>
      <c r="O255" s="5">
        <f>ROUND(N255/J255*100,2)</f>
        <v/>
      </c>
      <c r="P255" s="5">
        <f>9133.75</f>
        <v/>
      </c>
      <c r="Q255" s="5">
        <f>ROUND(P255/H255,2)</f>
        <v/>
      </c>
      <c r="R255" s="5">
        <f>IF(K255&gt;0,ROUND(H255/K255,2),999)</f>
        <v/>
      </c>
      <c r="S255" s="5" t="inlineStr">
        <is>
          <t>Meal Kit</t>
        </is>
      </c>
      <c r="T255" s="5" t="n">
        <v>600</v>
      </c>
      <c r="U255" s="5" t="n">
        <v>60</v>
      </c>
      <c r="V255" s="5" t="n">
        <v>8003</v>
      </c>
      <c r="W255" s="4" t="inlineStr">
        <is>
          <t>Organic search volume spike due to influencer mention.</t>
        </is>
      </c>
    </row>
    <row r="256">
      <c r="A256" s="2" t="inlineStr">
        <is>
          <t>2024-09-11</t>
        </is>
      </c>
      <c r="B256" s="2" t="inlineStr">
        <is>
          <t>Wednesday</t>
        </is>
      </c>
      <c r="C256" s="2" t="n">
        <v>37</v>
      </c>
      <c r="D256" s="2" t="n">
        <v>9</v>
      </c>
      <c r="E256" s="2" t="n">
        <v>3</v>
      </c>
      <c r="F256" s="2" t="inlineStr">
        <is>
          <t>Fall</t>
        </is>
      </c>
      <c r="G256" s="2" t="inlineStr">
        <is>
          <t>Scale</t>
        </is>
      </c>
      <c r="H256" s="3">
        <f>1734.53</f>
        <v/>
      </c>
      <c r="I256" s="3" t="n">
        <v>22618</v>
      </c>
      <c r="J256" s="3" t="n">
        <v>698</v>
      </c>
      <c r="K256" s="3">
        <f>ROUND(C256/I256*100,2)</f>
        <v/>
      </c>
      <c r="L256" s="3" t="n">
        <v>75</v>
      </c>
      <c r="M256" s="3" t="n">
        <v>30</v>
      </c>
      <c r="N256" s="3" t="n">
        <v>105</v>
      </c>
      <c r="O256" s="3">
        <f>ROUND(N256/J256*100,2)</f>
        <v/>
      </c>
      <c r="P256" s="3">
        <f>5664.86</f>
        <v/>
      </c>
      <c r="Q256" s="3">
        <f>ROUND(P256/H256,2)</f>
        <v/>
      </c>
      <c r="R256" s="3">
        <f>IF(K256&gt;0,ROUND(H256/K256,2),999)</f>
        <v/>
      </c>
      <c r="S256" s="3" t="inlineStr">
        <is>
          <t>Snack Box</t>
        </is>
      </c>
      <c r="T256" s="3" t="n">
        <v>305</v>
      </c>
      <c r="U256" s="3" t="n">
        <v>44</v>
      </c>
      <c r="V256" s="3" t="n">
        <v>5231</v>
      </c>
      <c r="W256" s="2" t="inlineStr">
        <is>
          <t>New customer acquisition cost declining with better audience targeting.</t>
        </is>
      </c>
    </row>
    <row r="257">
      <c r="A257" s="4" t="inlineStr">
        <is>
          <t>2024-09-12</t>
        </is>
      </c>
      <c r="B257" s="4" t="inlineStr">
        <is>
          <t>Thursday</t>
        </is>
      </c>
      <c r="C257" s="4" t="n">
        <v>37</v>
      </c>
      <c r="D257" s="4" t="n">
        <v>9</v>
      </c>
      <c r="E257" s="4" t="n">
        <v>3</v>
      </c>
      <c r="F257" s="4" t="inlineStr">
        <is>
          <t>Fall</t>
        </is>
      </c>
      <c r="G257" s="4" t="inlineStr">
        <is>
          <t>Scale</t>
        </is>
      </c>
      <c r="H257" s="5">
        <f>1426.05</f>
        <v/>
      </c>
      <c r="I257" s="5" t="n">
        <v>12600</v>
      </c>
      <c r="J257" s="5" t="n">
        <v>687</v>
      </c>
      <c r="K257" s="5">
        <f>ROUND(C257/I257*100,2)</f>
        <v/>
      </c>
      <c r="L257" s="5" t="n">
        <v>51</v>
      </c>
      <c r="M257" s="5" t="n">
        <v>25</v>
      </c>
      <c r="N257" s="5" t="n">
        <v>76</v>
      </c>
      <c r="O257" s="5">
        <f>ROUND(N257/J257*100,2)</f>
        <v/>
      </c>
      <c r="P257" s="5">
        <f>4694.79</f>
        <v/>
      </c>
      <c r="Q257" s="5">
        <f>ROUND(P257/H257,2)</f>
        <v/>
      </c>
      <c r="R257" s="5">
        <f>IF(K257&gt;0,ROUND(H257/K257,2),999)</f>
        <v/>
      </c>
      <c r="S257" s="5" t="inlineStr">
        <is>
          <t>Pantry</t>
        </is>
      </c>
      <c r="T257" s="5" t="n">
        <v>521</v>
      </c>
      <c r="U257" s="5" t="n">
        <v>46</v>
      </c>
      <c r="V257" s="5" t="n">
        <v>2957</v>
      </c>
      <c r="W257" s="4" t="inlineStr">
        <is>
          <t>Tuesday peak for email nurture campaigns.</t>
        </is>
      </c>
    </row>
    <row r="258">
      <c r="A258" s="2" t="inlineStr">
        <is>
          <t>2024-09-13</t>
        </is>
      </c>
      <c r="B258" s="2" t="inlineStr">
        <is>
          <t>Friday</t>
        </is>
      </c>
      <c r="C258" s="2" t="n">
        <v>37</v>
      </c>
      <c r="D258" s="2" t="n">
        <v>9</v>
      </c>
      <c r="E258" s="2" t="n">
        <v>3</v>
      </c>
      <c r="F258" s="2" t="inlineStr">
        <is>
          <t>Fall</t>
        </is>
      </c>
      <c r="G258" s="2" t="inlineStr">
        <is>
          <t>Scale</t>
        </is>
      </c>
      <c r="H258" s="3">
        <f>1626.47</f>
        <v/>
      </c>
      <c r="I258" s="3" t="n">
        <v>20219</v>
      </c>
      <c r="J258" s="3" t="n">
        <v>903</v>
      </c>
      <c r="K258" s="3">
        <f>ROUND(C258/I258*100,2)</f>
        <v/>
      </c>
      <c r="L258" s="3" t="n">
        <v>107</v>
      </c>
      <c r="M258" s="3" t="n">
        <v>18</v>
      </c>
      <c r="N258" s="3" t="n">
        <v>125</v>
      </c>
      <c r="O258" s="3">
        <f>ROUND(N258/J258*100,2)</f>
        <v/>
      </c>
      <c r="P258" s="3">
        <f>8005.06</f>
        <v/>
      </c>
      <c r="Q258" s="3">
        <f>ROUND(P258/H258,2)</f>
        <v/>
      </c>
      <c r="R258" s="3">
        <f>IF(K258&gt;0,ROUND(H258/K258,2),999)</f>
        <v/>
      </c>
      <c r="S258" s="3" t="inlineStr">
        <is>
          <t>Meal Kit</t>
        </is>
      </c>
      <c r="T258" s="3" t="n">
        <v>535</v>
      </c>
      <c r="U258" s="3" t="n">
        <v>159</v>
      </c>
      <c r="V258" s="3" t="n">
        <v>2730</v>
      </c>
      <c r="W258" s="2" t="inlineStr">
        <is>
          <t>Tuesday peak for email nurture campaigns.</t>
        </is>
      </c>
    </row>
    <row r="259">
      <c r="A259" s="4" t="inlineStr">
        <is>
          <t>2024-09-14</t>
        </is>
      </c>
      <c r="B259" s="4" t="inlineStr">
        <is>
          <t>Saturday</t>
        </is>
      </c>
      <c r="C259" s="4" t="n">
        <v>37</v>
      </c>
      <c r="D259" s="4" t="n">
        <v>9</v>
      </c>
      <c r="E259" s="4" t="n">
        <v>3</v>
      </c>
      <c r="F259" s="4" t="inlineStr">
        <is>
          <t>Fall</t>
        </is>
      </c>
      <c r="G259" s="4" t="inlineStr">
        <is>
          <t>Scale</t>
        </is>
      </c>
      <c r="H259" s="5">
        <f>1300.58</f>
        <v/>
      </c>
      <c r="I259" s="5" t="n">
        <v>15876</v>
      </c>
      <c r="J259" s="5" t="n">
        <v>395</v>
      </c>
      <c r="K259" s="5">
        <f>ROUND(C259/I259*100,2)</f>
        <v/>
      </c>
      <c r="L259" s="5" t="n">
        <v>23</v>
      </c>
      <c r="M259" s="5" t="n">
        <v>14</v>
      </c>
      <c r="N259" s="5" t="n">
        <v>37</v>
      </c>
      <c r="O259" s="5">
        <f>ROUND(N259/J259*100,2)</f>
        <v/>
      </c>
      <c r="P259" s="5">
        <f>1824.12</f>
        <v/>
      </c>
      <c r="Q259" s="5">
        <f>ROUND(P259/H259,2)</f>
        <v/>
      </c>
      <c r="R259" s="5">
        <f>IF(K259&gt;0,ROUND(H259/K259,2),999)</f>
        <v/>
      </c>
      <c r="S259" s="5" t="inlineStr">
        <is>
          <t>Snack Box</t>
        </is>
      </c>
      <c r="T259" s="5" t="n">
        <v>161</v>
      </c>
      <c r="U259" s="5" t="n">
        <v>62</v>
      </c>
      <c r="V259" s="5" t="n">
        <v>3950</v>
      </c>
      <c r="W259" s="4" t="inlineStr">
        <is>
          <t>High-intent keyword performance exceeding benchmarks.</t>
        </is>
      </c>
    </row>
    <row r="260">
      <c r="A260" s="2" t="inlineStr">
        <is>
          <t>2024-09-15</t>
        </is>
      </c>
      <c r="B260" s="2" t="inlineStr">
        <is>
          <t>Sunday</t>
        </is>
      </c>
      <c r="C260" s="2" t="n">
        <v>37</v>
      </c>
      <c r="D260" s="2" t="n">
        <v>9</v>
      </c>
      <c r="E260" s="2" t="n">
        <v>3</v>
      </c>
      <c r="F260" s="2" t="inlineStr">
        <is>
          <t>Fall</t>
        </is>
      </c>
      <c r="G260" s="2" t="inlineStr">
        <is>
          <t>Scale</t>
        </is>
      </c>
      <c r="H260" s="3">
        <f>1018.74</f>
        <v/>
      </c>
      <c r="I260" s="3" t="n">
        <v>9629</v>
      </c>
      <c r="J260" s="3" t="n">
        <v>251</v>
      </c>
      <c r="K260" s="3">
        <f>ROUND(C260/I260*100,2)</f>
        <v/>
      </c>
      <c r="L260" s="3" t="n">
        <v>23</v>
      </c>
      <c r="M260" s="3" t="n">
        <v>9</v>
      </c>
      <c r="N260" s="3" t="n">
        <v>32</v>
      </c>
      <c r="O260" s="3">
        <f>ROUND(N260/J260*100,2)</f>
        <v/>
      </c>
      <c r="P260" s="3">
        <f>1950.23</f>
        <v/>
      </c>
      <c r="Q260" s="3">
        <f>ROUND(P260/H260,2)</f>
        <v/>
      </c>
      <c r="R260" s="3">
        <f>IF(K260&gt;0,ROUND(H260/K260,2),999)</f>
        <v/>
      </c>
      <c r="S260" s="3" t="inlineStr">
        <is>
          <t>Snack Box</t>
        </is>
      </c>
      <c r="T260" s="3" t="n">
        <v>82</v>
      </c>
      <c r="U260" s="3" t="n">
        <v>60</v>
      </c>
      <c r="V260" s="3" t="n">
        <v>2468</v>
      </c>
      <c r="W260" s="2" t="inlineStr">
        <is>
          <t>Budget reallocation to top-performing Google Shopping ads.</t>
        </is>
      </c>
    </row>
    <row r="261">
      <c r="A261" s="4" t="inlineStr">
        <is>
          <t>2024-09-16</t>
        </is>
      </c>
      <c r="B261" s="4" t="inlineStr">
        <is>
          <t>Monday</t>
        </is>
      </c>
      <c r="C261" s="4" t="n">
        <v>38</v>
      </c>
      <c r="D261" s="4" t="n">
        <v>9</v>
      </c>
      <c r="E261" s="4" t="n">
        <v>3</v>
      </c>
      <c r="F261" s="4" t="inlineStr">
        <is>
          <t>Fall</t>
        </is>
      </c>
      <c r="G261" s="4" t="inlineStr">
        <is>
          <t>Scale</t>
        </is>
      </c>
      <c r="H261" s="5">
        <f>1698.08</f>
        <v/>
      </c>
      <c r="I261" s="5" t="n">
        <v>18657</v>
      </c>
      <c r="J261" s="5" t="n">
        <v>1185</v>
      </c>
      <c r="K261" s="5">
        <f>ROUND(C261/I261*100,2)</f>
        <v/>
      </c>
      <c r="L261" s="5" t="n">
        <v>116</v>
      </c>
      <c r="M261" s="5" t="n">
        <v>58</v>
      </c>
      <c r="N261" s="5" t="n">
        <v>174</v>
      </c>
      <c r="O261" s="5">
        <f>ROUND(N261/J261*100,2)</f>
        <v/>
      </c>
      <c r="P261" s="5">
        <f>8315.09</f>
        <v/>
      </c>
      <c r="Q261" s="5">
        <f>ROUND(P261/H261,2)</f>
        <v/>
      </c>
      <c r="R261" s="5">
        <f>IF(K261&gt;0,ROUND(H261/K261,2),999)</f>
        <v/>
      </c>
      <c r="S261" s="5" t="inlineStr">
        <is>
          <t>Meal Kit</t>
        </is>
      </c>
      <c r="T261" s="5" t="n">
        <v>561</v>
      </c>
      <c r="U261" s="5" t="n">
        <v>94</v>
      </c>
      <c r="V261" s="5" t="n">
        <v>4674</v>
      </c>
      <c r="W261" s="4" t="inlineStr">
        <is>
          <t>High-intent keyword performance exceeding benchmarks.</t>
        </is>
      </c>
    </row>
    <row r="262">
      <c r="A262" s="2" t="inlineStr">
        <is>
          <t>2024-09-17</t>
        </is>
      </c>
      <c r="B262" s="2" t="inlineStr">
        <is>
          <t>Tuesday</t>
        </is>
      </c>
      <c r="C262" s="2" t="n">
        <v>38</v>
      </c>
      <c r="D262" s="2" t="n">
        <v>9</v>
      </c>
      <c r="E262" s="2" t="n">
        <v>3</v>
      </c>
      <c r="F262" s="2" t="inlineStr">
        <is>
          <t>Fall</t>
        </is>
      </c>
      <c r="G262" s="2" t="inlineStr">
        <is>
          <t>Scale</t>
        </is>
      </c>
      <c r="H262" s="3">
        <f>1501.30</f>
        <v/>
      </c>
      <c r="I262" s="3" t="n">
        <v>21599</v>
      </c>
      <c r="J262" s="3" t="n">
        <v>863</v>
      </c>
      <c r="K262" s="3">
        <f>ROUND(C262/I262*100,2)</f>
        <v/>
      </c>
      <c r="L262" s="3" t="n">
        <v>91</v>
      </c>
      <c r="M262" s="3" t="n">
        <v>49</v>
      </c>
      <c r="N262" s="3" t="n">
        <v>140</v>
      </c>
      <c r="O262" s="3">
        <f>ROUND(N262/J262*100,2)</f>
        <v/>
      </c>
      <c r="P262" s="3">
        <f>6777.38</f>
        <v/>
      </c>
      <c r="Q262" s="3">
        <f>ROUND(P262/H262,2)</f>
        <v/>
      </c>
      <c r="R262" s="3">
        <f>IF(K262&gt;0,ROUND(H262/K262,2),999)</f>
        <v/>
      </c>
      <c r="S262" s="3" t="inlineStr">
        <is>
          <t>Meal Kit</t>
        </is>
      </c>
      <c r="T262" s="3" t="n">
        <v>671</v>
      </c>
      <c r="U262" s="3" t="n">
        <v>94</v>
      </c>
      <c r="V262" s="3" t="n">
        <v>5966</v>
      </c>
      <c r="W262" s="2" t="inlineStr">
        <is>
          <t>Weather-dependent category performance noted.</t>
        </is>
      </c>
    </row>
    <row r="263">
      <c r="A263" s="4" t="inlineStr">
        <is>
          <t>2024-09-18</t>
        </is>
      </c>
      <c r="B263" s="4" t="inlineStr">
        <is>
          <t>Wednesday</t>
        </is>
      </c>
      <c r="C263" s="4" t="n">
        <v>38</v>
      </c>
      <c r="D263" s="4" t="n">
        <v>9</v>
      </c>
      <c r="E263" s="4" t="n">
        <v>3</v>
      </c>
      <c r="F263" s="4" t="inlineStr">
        <is>
          <t>Fall</t>
        </is>
      </c>
      <c r="G263" s="4" t="inlineStr">
        <is>
          <t>Scale</t>
        </is>
      </c>
      <c r="H263" s="5">
        <f>1476.45</f>
        <v/>
      </c>
      <c r="I263" s="5" t="n">
        <v>14953</v>
      </c>
      <c r="J263" s="5" t="n">
        <v>472</v>
      </c>
      <c r="K263" s="5">
        <f>ROUND(C263/I263*100,2)</f>
        <v/>
      </c>
      <c r="L263" s="5" t="n">
        <v>55</v>
      </c>
      <c r="M263" s="5" t="n">
        <v>24</v>
      </c>
      <c r="N263" s="5" t="n">
        <v>79</v>
      </c>
      <c r="O263" s="5">
        <f>ROUND(N263/J263*100,2)</f>
        <v/>
      </c>
      <c r="P263" s="5">
        <f>4049.50</f>
        <v/>
      </c>
      <c r="Q263" s="5">
        <f>ROUND(P263/H263,2)</f>
        <v/>
      </c>
      <c r="R263" s="5">
        <f>IF(K263&gt;0,ROUND(H263/K263,2),999)</f>
        <v/>
      </c>
      <c r="S263" s="5" t="inlineStr">
        <is>
          <t>Meal Kit</t>
        </is>
      </c>
      <c r="T263" s="5" t="n">
        <v>208</v>
      </c>
      <c r="U263" s="5" t="n">
        <v>93</v>
      </c>
      <c r="V263" s="5" t="n">
        <v>2120</v>
      </c>
      <c r="W263" s="4" t="inlineStr">
        <is>
          <t>Tuesday peak for email nurture campaigns.</t>
        </is>
      </c>
    </row>
    <row r="264">
      <c r="A264" s="2" t="inlineStr">
        <is>
          <t>2024-09-19</t>
        </is>
      </c>
      <c r="B264" s="2" t="inlineStr">
        <is>
          <t>Thursday</t>
        </is>
      </c>
      <c r="C264" s="2" t="n">
        <v>38</v>
      </c>
      <c r="D264" s="2" t="n">
        <v>9</v>
      </c>
      <c r="E264" s="2" t="n">
        <v>3</v>
      </c>
      <c r="F264" s="2" t="inlineStr">
        <is>
          <t>Fall</t>
        </is>
      </c>
      <c r="G264" s="2" t="inlineStr">
        <is>
          <t>Scale</t>
        </is>
      </c>
      <c r="H264" s="3">
        <f>1544.95</f>
        <v/>
      </c>
      <c r="I264" s="3" t="n">
        <v>14131</v>
      </c>
      <c r="J264" s="3" t="n">
        <v>670</v>
      </c>
      <c r="K264" s="3">
        <f>ROUND(C264/I264*100,2)</f>
        <v/>
      </c>
      <c r="L264" s="3" t="n">
        <v>75</v>
      </c>
      <c r="M264" s="3" t="n">
        <v>19</v>
      </c>
      <c r="N264" s="3" t="n">
        <v>94</v>
      </c>
      <c r="O264" s="3">
        <f>ROUND(N264/J264*100,2)</f>
        <v/>
      </c>
      <c r="P264" s="3">
        <f>4975.65</f>
        <v/>
      </c>
      <c r="Q264" s="3">
        <f>ROUND(P264/H264,2)</f>
        <v/>
      </c>
      <c r="R264" s="3">
        <f>IF(K264&gt;0,ROUND(H264/K264,2),999)</f>
        <v/>
      </c>
      <c r="S264" s="3" t="inlineStr">
        <is>
          <t>Meal Kit</t>
        </is>
      </c>
      <c r="T264" s="3" t="n">
        <v>386</v>
      </c>
      <c r="U264" s="3" t="n">
        <v>82</v>
      </c>
      <c r="V264" s="3" t="n">
        <v>2087</v>
      </c>
      <c r="W264" s="2" t="inlineStr">
        <is>
          <t>Email list fatigue evident, segment optimization recommended.</t>
        </is>
      </c>
    </row>
    <row r="265">
      <c r="A265" s="4" t="inlineStr">
        <is>
          <t>2024-09-20</t>
        </is>
      </c>
      <c r="B265" s="4" t="inlineStr">
        <is>
          <t>Friday</t>
        </is>
      </c>
      <c r="C265" s="4" t="n">
        <v>38</v>
      </c>
      <c r="D265" s="4" t="n">
        <v>9</v>
      </c>
      <c r="E265" s="4" t="n">
        <v>3</v>
      </c>
      <c r="F265" s="4" t="inlineStr">
        <is>
          <t>Fall</t>
        </is>
      </c>
      <c r="G265" s="4" t="inlineStr">
        <is>
          <t>Scale</t>
        </is>
      </c>
      <c r="H265" s="5">
        <f>1746.48</f>
        <v/>
      </c>
      <c r="I265" s="5" t="n">
        <v>16773</v>
      </c>
      <c r="J265" s="5" t="n">
        <v>1236</v>
      </c>
      <c r="K265" s="5">
        <f>ROUND(C265/I265*100,2)</f>
        <v/>
      </c>
      <c r="L265" s="5" t="n">
        <v>68</v>
      </c>
      <c r="M265" s="5" t="n">
        <v>40</v>
      </c>
      <c r="N265" s="5" t="n">
        <v>108</v>
      </c>
      <c r="O265" s="5">
        <f>ROUND(N265/J265*100,2)</f>
        <v/>
      </c>
      <c r="P265" s="5">
        <f>5288.90</f>
        <v/>
      </c>
      <c r="Q265" s="5">
        <f>ROUND(P265/H265,2)</f>
        <v/>
      </c>
      <c r="R265" s="5">
        <f>IF(K265&gt;0,ROUND(H265/K265,2),999)</f>
        <v/>
      </c>
      <c r="S265" s="5" t="inlineStr">
        <is>
          <t>Meal Kit</t>
        </is>
      </c>
      <c r="T265" s="5" t="n">
        <v>752</v>
      </c>
      <c r="U265" s="5" t="n">
        <v>242</v>
      </c>
      <c r="V265" s="5" t="n">
        <v>4494</v>
      </c>
      <c r="W265" s="4" t="inlineStr">
        <is>
          <t>Competitor promotion detected, reduced CPA achieved through optimization.</t>
        </is>
      </c>
    </row>
    <row r="266">
      <c r="A266" s="2" t="inlineStr">
        <is>
          <t>2024-09-21</t>
        </is>
      </c>
      <c r="B266" s="2" t="inlineStr">
        <is>
          <t>Saturday</t>
        </is>
      </c>
      <c r="C266" s="2" t="n">
        <v>38</v>
      </c>
      <c r="D266" s="2" t="n">
        <v>9</v>
      </c>
      <c r="E266" s="2" t="n">
        <v>3</v>
      </c>
      <c r="F266" s="2" t="inlineStr">
        <is>
          <t>Fall</t>
        </is>
      </c>
      <c r="G266" s="2" t="inlineStr">
        <is>
          <t>Scale</t>
        </is>
      </c>
      <c r="H266" s="3">
        <f>1284.38</f>
        <v/>
      </c>
      <c r="I266" s="3" t="n">
        <v>11364</v>
      </c>
      <c r="J266" s="3" t="n">
        <v>543</v>
      </c>
      <c r="K266" s="3">
        <f>ROUND(C266/I266*100,2)</f>
        <v/>
      </c>
      <c r="L266" s="3" t="n">
        <v>59</v>
      </c>
      <c r="M266" s="3" t="n">
        <v>21</v>
      </c>
      <c r="N266" s="3" t="n">
        <v>80</v>
      </c>
      <c r="O266" s="3">
        <f>ROUND(N266/J266*100,2)</f>
        <v/>
      </c>
      <c r="P266" s="3">
        <f>4008.23</f>
        <v/>
      </c>
      <c r="Q266" s="3">
        <f>ROUND(P266/H266,2)</f>
        <v/>
      </c>
      <c r="R266" s="3">
        <f>IF(K266&gt;0,ROUND(H266/K266,2),999)</f>
        <v/>
      </c>
      <c r="S266" s="3" t="inlineStr">
        <is>
          <t>Pantry</t>
        </is>
      </c>
      <c r="T266" s="3" t="n">
        <v>209</v>
      </c>
      <c r="U266" s="3" t="n">
        <v>63</v>
      </c>
      <c r="V266" s="3" t="n">
        <v>1974</v>
      </c>
      <c r="W266" s="2" t="inlineStr">
        <is>
          <t>Seasonal surge in health-conscious persona segments.</t>
        </is>
      </c>
    </row>
    <row r="267">
      <c r="A267" s="4" t="inlineStr">
        <is>
          <t>2024-09-22</t>
        </is>
      </c>
      <c r="B267" s="4" t="inlineStr">
        <is>
          <t>Sunday</t>
        </is>
      </c>
      <c r="C267" s="4" t="n">
        <v>38</v>
      </c>
      <c r="D267" s="4" t="n">
        <v>9</v>
      </c>
      <c r="E267" s="4" t="n">
        <v>3</v>
      </c>
      <c r="F267" s="4" t="inlineStr">
        <is>
          <t>Fall</t>
        </is>
      </c>
      <c r="G267" s="4" t="inlineStr">
        <is>
          <t>Scale</t>
        </is>
      </c>
      <c r="H267" s="5">
        <f>1311.12</f>
        <v/>
      </c>
      <c r="I267" s="5" t="n">
        <v>11638</v>
      </c>
      <c r="J267" s="5" t="n">
        <v>769</v>
      </c>
      <c r="K267" s="5">
        <f>ROUND(C267/I267*100,2)</f>
        <v/>
      </c>
      <c r="L267" s="5" t="n">
        <v>73</v>
      </c>
      <c r="M267" s="5" t="n">
        <v>22</v>
      </c>
      <c r="N267" s="5" t="n">
        <v>95</v>
      </c>
      <c r="O267" s="5">
        <f>ROUND(N267/J267*100,2)</f>
        <v/>
      </c>
      <c r="P267" s="5">
        <f>6108.75</f>
        <v/>
      </c>
      <c r="Q267" s="5">
        <f>ROUND(P267/H267,2)</f>
        <v/>
      </c>
      <c r="R267" s="5">
        <f>IF(K267&gt;0,ROUND(H267/K267,2),999)</f>
        <v/>
      </c>
      <c r="S267" s="5" t="inlineStr">
        <is>
          <t>Snack Box</t>
        </is>
      </c>
      <c r="T267" s="5" t="n">
        <v>489</v>
      </c>
      <c r="U267" s="5" t="n">
        <v>187</v>
      </c>
      <c r="V267" s="5" t="n">
        <v>4351</v>
      </c>
      <c r="W267" s="4" t="inlineStr">
        <is>
          <t>Weekend dip in conversions, organic traffic remains steady.</t>
        </is>
      </c>
    </row>
    <row r="268">
      <c r="A268" s="2" t="inlineStr">
        <is>
          <t>2024-09-23</t>
        </is>
      </c>
      <c r="B268" s="2" t="inlineStr">
        <is>
          <t>Monday</t>
        </is>
      </c>
      <c r="C268" s="2" t="n">
        <v>39</v>
      </c>
      <c r="D268" s="2" t="n">
        <v>9</v>
      </c>
      <c r="E268" s="2" t="n">
        <v>3</v>
      </c>
      <c r="F268" s="2" t="inlineStr">
        <is>
          <t>Fall</t>
        </is>
      </c>
      <c r="G268" s="2" t="inlineStr">
        <is>
          <t>Scale</t>
        </is>
      </c>
      <c r="H268" s="3">
        <f>1517.36</f>
        <v/>
      </c>
      <c r="I268" s="3" t="n">
        <v>19045</v>
      </c>
      <c r="J268" s="3" t="n">
        <v>1156</v>
      </c>
      <c r="K268" s="3">
        <f>ROUND(C268/I268*100,2)</f>
        <v/>
      </c>
      <c r="L268" s="3" t="n">
        <v>69</v>
      </c>
      <c r="M268" s="3" t="n">
        <v>24</v>
      </c>
      <c r="N268" s="3" t="n">
        <v>93</v>
      </c>
      <c r="O268" s="3">
        <f>ROUND(N268/J268*100,2)</f>
        <v/>
      </c>
      <c r="P268" s="3">
        <f>5099.38</f>
        <v/>
      </c>
      <c r="Q268" s="3">
        <f>ROUND(P268/H268,2)</f>
        <v/>
      </c>
      <c r="R268" s="3">
        <f>IF(K268&gt;0,ROUND(H268/K268,2),999)</f>
        <v/>
      </c>
      <c r="S268" s="3" t="inlineStr">
        <is>
          <t>Pantry</t>
        </is>
      </c>
      <c r="T268" s="3" t="n">
        <v>919</v>
      </c>
      <c r="U268" s="3" t="n">
        <v>80</v>
      </c>
      <c r="V268" s="3" t="n">
        <v>2365</v>
      </c>
      <c r="W268" s="2" t="inlineStr">
        <is>
          <t>Email list fatigue evident, segment optimization recommended.</t>
        </is>
      </c>
    </row>
    <row r="269">
      <c r="A269" s="4" t="inlineStr">
        <is>
          <t>2024-09-24</t>
        </is>
      </c>
      <c r="B269" s="4" t="inlineStr">
        <is>
          <t>Tuesday</t>
        </is>
      </c>
      <c r="C269" s="4" t="n">
        <v>39</v>
      </c>
      <c r="D269" s="4" t="n">
        <v>9</v>
      </c>
      <c r="E269" s="4" t="n">
        <v>3</v>
      </c>
      <c r="F269" s="4" t="inlineStr">
        <is>
          <t>Fall</t>
        </is>
      </c>
      <c r="G269" s="4" t="inlineStr">
        <is>
          <t>Scale</t>
        </is>
      </c>
      <c r="H269" s="5">
        <f>1775.51</f>
        <v/>
      </c>
      <c r="I269" s="5" t="n">
        <v>26263</v>
      </c>
      <c r="J269" s="5" t="n">
        <v>1202</v>
      </c>
      <c r="K269" s="5">
        <f>ROUND(C269/I269*100,2)</f>
        <v/>
      </c>
      <c r="L269" s="5" t="n">
        <v>71</v>
      </c>
      <c r="M269" s="5" t="n">
        <v>59</v>
      </c>
      <c r="N269" s="5" t="n">
        <v>130</v>
      </c>
      <c r="O269" s="5">
        <f>ROUND(N269/J269*100,2)</f>
        <v/>
      </c>
      <c r="P269" s="5">
        <f>6288.82</f>
        <v/>
      </c>
      <c r="Q269" s="5">
        <f>ROUND(P269/H269,2)</f>
        <v/>
      </c>
      <c r="R269" s="5">
        <f>IF(K269&gt;0,ROUND(H269/K269,2),999)</f>
        <v/>
      </c>
      <c r="S269" s="5" t="inlineStr">
        <is>
          <t>Meal Kit</t>
        </is>
      </c>
      <c r="T269" s="5" t="n">
        <v>450</v>
      </c>
      <c r="U269" s="5" t="n">
        <v>91</v>
      </c>
      <c r="V269" s="5" t="n">
        <v>8582</v>
      </c>
      <c r="W269" s="4" t="inlineStr">
        <is>
          <t>Mobile conversion rate optimization showing 12% improvement.</t>
        </is>
      </c>
    </row>
    <row r="270">
      <c r="A270" s="2" t="inlineStr">
        <is>
          <t>2024-09-25</t>
        </is>
      </c>
      <c r="B270" s="2" t="inlineStr">
        <is>
          <t>Wednesday</t>
        </is>
      </c>
      <c r="C270" s="2" t="n">
        <v>39</v>
      </c>
      <c r="D270" s="2" t="n">
        <v>9</v>
      </c>
      <c r="E270" s="2" t="n">
        <v>3</v>
      </c>
      <c r="F270" s="2" t="inlineStr">
        <is>
          <t>Fall</t>
        </is>
      </c>
      <c r="G270" s="2" t="inlineStr">
        <is>
          <t>Scale</t>
        </is>
      </c>
      <c r="H270" s="3">
        <f>1791.63</f>
        <v/>
      </c>
      <c r="I270" s="3" t="n">
        <v>15665</v>
      </c>
      <c r="J270" s="3" t="n">
        <v>871</v>
      </c>
      <c r="K270" s="3">
        <f>ROUND(C270/I270*100,2)</f>
        <v/>
      </c>
      <c r="L270" s="3" t="n">
        <v>54</v>
      </c>
      <c r="M270" s="3" t="n">
        <v>44</v>
      </c>
      <c r="N270" s="3" t="n">
        <v>98</v>
      </c>
      <c r="O270" s="3">
        <f>ROUND(N270/J270*100,2)</f>
        <v/>
      </c>
      <c r="P270" s="3">
        <f>5565.13</f>
        <v/>
      </c>
      <c r="Q270" s="3">
        <f>ROUND(P270/H270,2)</f>
        <v/>
      </c>
      <c r="R270" s="3">
        <f>IF(K270&gt;0,ROUND(H270/K270,2),999)</f>
        <v/>
      </c>
      <c r="S270" s="3" t="inlineStr">
        <is>
          <t>Snack Box</t>
        </is>
      </c>
      <c r="T270" s="3" t="n">
        <v>696</v>
      </c>
      <c r="U270" s="3" t="n">
        <v>95</v>
      </c>
      <c r="V270" s="3" t="n">
        <v>2635</v>
      </c>
      <c r="W270" s="2" t="inlineStr">
        <is>
          <t>Subscription retention improving month-over-month.</t>
        </is>
      </c>
    </row>
    <row r="271">
      <c r="A271" s="4" t="inlineStr">
        <is>
          <t>2024-09-26</t>
        </is>
      </c>
      <c r="B271" s="4" t="inlineStr">
        <is>
          <t>Thursday</t>
        </is>
      </c>
      <c r="C271" s="4" t="n">
        <v>39</v>
      </c>
      <c r="D271" s="4" t="n">
        <v>9</v>
      </c>
      <c r="E271" s="4" t="n">
        <v>3</v>
      </c>
      <c r="F271" s="4" t="inlineStr">
        <is>
          <t>Fall</t>
        </is>
      </c>
      <c r="G271" s="4" t="inlineStr">
        <is>
          <t>Scale</t>
        </is>
      </c>
      <c r="H271" s="5">
        <f>1735.91</f>
        <v/>
      </c>
      <c r="I271" s="5" t="n">
        <v>16682</v>
      </c>
      <c r="J271" s="5" t="n">
        <v>1255</v>
      </c>
      <c r="K271" s="5">
        <f>ROUND(C271/I271*100,2)</f>
        <v/>
      </c>
      <c r="L271" s="5" t="n">
        <v>144</v>
      </c>
      <c r="M271" s="5" t="n">
        <v>67</v>
      </c>
      <c r="N271" s="5" t="n">
        <v>211</v>
      </c>
      <c r="O271" s="5">
        <f>ROUND(N271/J271*100,2)</f>
        <v/>
      </c>
      <c r="P271" s="5">
        <f>10221.77</f>
        <v/>
      </c>
      <c r="Q271" s="5">
        <f>ROUND(P271/H271,2)</f>
        <v/>
      </c>
      <c r="R271" s="5">
        <f>IF(K271&gt;0,ROUND(H271/K271,2),999)</f>
        <v/>
      </c>
      <c r="S271" s="5" t="inlineStr">
        <is>
          <t>Meal Kit</t>
        </is>
      </c>
      <c r="T271" s="5" t="n">
        <v>478</v>
      </c>
      <c r="U271" s="5" t="n">
        <v>117</v>
      </c>
      <c r="V271" s="5" t="n">
        <v>5461</v>
      </c>
      <c r="W271" s="4" t="inlineStr">
        <is>
          <t>Seasonal surge in health-conscious persona segments.</t>
        </is>
      </c>
    </row>
    <row r="272">
      <c r="A272" s="2" t="inlineStr">
        <is>
          <t>2024-09-27</t>
        </is>
      </c>
      <c r="B272" s="2" t="inlineStr">
        <is>
          <t>Friday</t>
        </is>
      </c>
      <c r="C272" s="2" t="n">
        <v>39</v>
      </c>
      <c r="D272" s="2" t="n">
        <v>9</v>
      </c>
      <c r="E272" s="2" t="n">
        <v>3</v>
      </c>
      <c r="F272" s="2" t="inlineStr">
        <is>
          <t>Fall</t>
        </is>
      </c>
      <c r="G272" s="2" t="inlineStr">
        <is>
          <t>Scale</t>
        </is>
      </c>
      <c r="H272" s="3">
        <f>1547.05</f>
        <v/>
      </c>
      <c r="I272" s="3" t="n">
        <v>12381</v>
      </c>
      <c r="J272" s="3" t="n">
        <v>682</v>
      </c>
      <c r="K272" s="3">
        <f>ROUND(C272/I272*100,2)</f>
        <v/>
      </c>
      <c r="L272" s="3" t="n">
        <v>81</v>
      </c>
      <c r="M272" s="3" t="n">
        <v>23</v>
      </c>
      <c r="N272" s="3" t="n">
        <v>104</v>
      </c>
      <c r="O272" s="3">
        <f>ROUND(N272/J272*100,2)</f>
        <v/>
      </c>
      <c r="P272" s="3">
        <f>6055.98</f>
        <v/>
      </c>
      <c r="Q272" s="3">
        <f>ROUND(P272/H272,2)</f>
        <v/>
      </c>
      <c r="R272" s="3">
        <f>IF(K272&gt;0,ROUND(H272/K272,2),999)</f>
        <v/>
      </c>
      <c r="S272" s="3" t="inlineStr">
        <is>
          <t>Snack Box</t>
        </is>
      </c>
      <c r="T272" s="3" t="n">
        <v>212</v>
      </c>
      <c r="U272" s="3" t="n">
        <v>164</v>
      </c>
      <c r="V272" s="3" t="n">
        <v>4823</v>
      </c>
      <c r="W272" s="2" t="inlineStr">
        <is>
          <t>New customer acquisition cost declining with better audience targeting.</t>
        </is>
      </c>
    </row>
    <row r="273">
      <c r="A273" s="4" t="inlineStr">
        <is>
          <t>2024-09-28</t>
        </is>
      </c>
      <c r="B273" s="4" t="inlineStr">
        <is>
          <t>Saturday</t>
        </is>
      </c>
      <c r="C273" s="4" t="n">
        <v>39</v>
      </c>
      <c r="D273" s="4" t="n">
        <v>9</v>
      </c>
      <c r="E273" s="4" t="n">
        <v>3</v>
      </c>
      <c r="F273" s="4" t="inlineStr">
        <is>
          <t>Fall</t>
        </is>
      </c>
      <c r="G273" s="4" t="inlineStr">
        <is>
          <t>Holiday Push</t>
        </is>
      </c>
      <c r="H273" s="5">
        <f>1160.89</f>
        <v/>
      </c>
      <c r="I273" s="5" t="n">
        <v>9932</v>
      </c>
      <c r="J273" s="5" t="n">
        <v>454</v>
      </c>
      <c r="K273" s="5">
        <f>ROUND(C273/I273*100,2)</f>
        <v/>
      </c>
      <c r="L273" s="5" t="n">
        <v>42</v>
      </c>
      <c r="M273" s="5" t="n">
        <v>24</v>
      </c>
      <c r="N273" s="5" t="n">
        <v>66</v>
      </c>
      <c r="O273" s="5">
        <f>ROUND(N273/J273*100,2)</f>
        <v/>
      </c>
      <c r="P273" s="5">
        <f>3992.02</f>
        <v/>
      </c>
      <c r="Q273" s="5">
        <f>ROUND(P273/H273,2)</f>
        <v/>
      </c>
      <c r="R273" s="5">
        <f>IF(K273&gt;0,ROUND(H273/K273,2),999)</f>
        <v/>
      </c>
      <c r="S273" s="5" t="inlineStr">
        <is>
          <t>Meal Kit</t>
        </is>
      </c>
      <c r="T273" s="5" t="n">
        <v>302</v>
      </c>
      <c r="U273" s="5" t="n">
        <v>28</v>
      </c>
      <c r="V273" s="5" t="n">
        <v>3412</v>
      </c>
      <c r="W273" s="4" t="inlineStr">
        <is>
          <t>Meta lookalike audience expansion successful.</t>
        </is>
      </c>
    </row>
    <row r="274">
      <c r="A274" s="2" t="inlineStr">
        <is>
          <t>2024-09-29</t>
        </is>
      </c>
      <c r="B274" s="2" t="inlineStr">
        <is>
          <t>Sunday</t>
        </is>
      </c>
      <c r="C274" s="2" t="n">
        <v>39</v>
      </c>
      <c r="D274" s="2" t="n">
        <v>9</v>
      </c>
      <c r="E274" s="2" t="n">
        <v>3</v>
      </c>
      <c r="F274" s="2" t="inlineStr">
        <is>
          <t>Fall</t>
        </is>
      </c>
      <c r="G274" s="2" t="inlineStr">
        <is>
          <t>Holiday Push</t>
        </is>
      </c>
      <c r="H274" s="3">
        <f>1072.59</f>
        <v/>
      </c>
      <c r="I274" s="3" t="n">
        <v>9550</v>
      </c>
      <c r="J274" s="3" t="n">
        <v>473</v>
      </c>
      <c r="K274" s="3">
        <f>ROUND(C274/I274*100,2)</f>
        <v/>
      </c>
      <c r="L274" s="3" t="n">
        <v>43</v>
      </c>
      <c r="M274" s="3" t="n">
        <v>19</v>
      </c>
      <c r="N274" s="3" t="n">
        <v>62</v>
      </c>
      <c r="O274" s="3">
        <f>ROUND(N274/J274*100,2)</f>
        <v/>
      </c>
      <c r="P274" s="3">
        <f>3629.35</f>
        <v/>
      </c>
      <c r="Q274" s="3">
        <f>ROUND(P274/H274,2)</f>
        <v/>
      </c>
      <c r="R274" s="3">
        <f>IF(K274&gt;0,ROUND(H274/K274,2),999)</f>
        <v/>
      </c>
      <c r="S274" s="3" t="inlineStr">
        <is>
          <t>Meal Kit</t>
        </is>
      </c>
      <c r="T274" s="3" t="n">
        <v>189</v>
      </c>
      <c r="U274" s="3" t="n">
        <v>76</v>
      </c>
      <c r="V274" s="3" t="n">
        <v>2736</v>
      </c>
      <c r="W274" s="2" t="inlineStr">
        <is>
          <t>Weekend dip in conversions, organic traffic remains steady.</t>
        </is>
      </c>
    </row>
    <row r="275">
      <c r="A275" s="4" t="inlineStr">
        <is>
          <t>2024-09-30</t>
        </is>
      </c>
      <c r="B275" s="4" t="inlineStr">
        <is>
          <t>Monday</t>
        </is>
      </c>
      <c r="C275" s="4" t="n">
        <v>40</v>
      </c>
      <c r="D275" s="4" t="n">
        <v>9</v>
      </c>
      <c r="E275" s="4" t="n">
        <v>3</v>
      </c>
      <c r="F275" s="4" t="inlineStr">
        <is>
          <t>Fall</t>
        </is>
      </c>
      <c r="G275" s="4" t="inlineStr">
        <is>
          <t>Holiday Push</t>
        </is>
      </c>
      <c r="H275" s="5">
        <f>1736.93</f>
        <v/>
      </c>
      <c r="I275" s="5" t="n">
        <v>17057</v>
      </c>
      <c r="J275" s="5" t="n">
        <v>1282</v>
      </c>
      <c r="K275" s="5">
        <f>ROUND(C275/I275*100,2)</f>
        <v/>
      </c>
      <c r="L275" s="5" t="n">
        <v>95</v>
      </c>
      <c r="M275" s="5" t="n">
        <v>61</v>
      </c>
      <c r="N275" s="5" t="n">
        <v>156</v>
      </c>
      <c r="O275" s="5">
        <f>ROUND(N275/J275*100,2)</f>
        <v/>
      </c>
      <c r="P275" s="5">
        <f>8291.89</f>
        <v/>
      </c>
      <c r="Q275" s="5">
        <f>ROUND(P275/H275,2)</f>
        <v/>
      </c>
      <c r="R275" s="5">
        <f>IF(K275&gt;0,ROUND(H275/K275,2),999)</f>
        <v/>
      </c>
      <c r="S275" s="5" t="inlineStr">
        <is>
          <t>Pantry</t>
        </is>
      </c>
      <c r="T275" s="5" t="n">
        <v>652</v>
      </c>
      <c r="U275" s="5" t="n">
        <v>286</v>
      </c>
      <c r="V275" s="5" t="n">
        <v>3732</v>
      </c>
      <c r="W275" s="4" t="inlineStr">
        <is>
          <t>YouTube pre-roll tested with product demo creatives.</t>
        </is>
      </c>
    </row>
    <row r="276">
      <c r="A276" s="2" t="inlineStr">
        <is>
          <t>2024-10-01</t>
        </is>
      </c>
      <c r="B276" s="2" t="inlineStr">
        <is>
          <t>Tuesday</t>
        </is>
      </c>
      <c r="C276" s="2" t="n">
        <v>40</v>
      </c>
      <c r="D276" s="2" t="n">
        <v>10</v>
      </c>
      <c r="E276" s="2" t="n">
        <v>4</v>
      </c>
      <c r="F276" s="2" t="inlineStr">
        <is>
          <t>Fall</t>
        </is>
      </c>
      <c r="G276" s="2" t="inlineStr">
        <is>
          <t>Holiday Push</t>
        </is>
      </c>
      <c r="H276" s="3">
        <f>1892.24</f>
        <v/>
      </c>
      <c r="I276" s="3" t="n">
        <v>23190</v>
      </c>
      <c r="J276" s="3" t="n">
        <v>1468</v>
      </c>
      <c r="K276" s="3">
        <f>ROUND(C276/I276*100,2)</f>
        <v/>
      </c>
      <c r="L276" s="3" t="n">
        <v>88</v>
      </c>
      <c r="M276" s="3" t="n">
        <v>33</v>
      </c>
      <c r="N276" s="3" t="n">
        <v>121</v>
      </c>
      <c r="O276" s="3">
        <f>ROUND(N276/J276*100,2)</f>
        <v/>
      </c>
      <c r="P276" s="3">
        <f>7529.79</f>
        <v/>
      </c>
      <c r="Q276" s="3">
        <f>ROUND(P276/H276,2)</f>
        <v/>
      </c>
      <c r="R276" s="3">
        <f>IF(K276&gt;0,ROUND(H276/K276,2),999)</f>
        <v/>
      </c>
      <c r="S276" s="3" t="inlineStr">
        <is>
          <t>Snack Box</t>
        </is>
      </c>
      <c r="T276" s="3" t="n">
        <v>655</v>
      </c>
      <c r="U276" s="3" t="n">
        <v>223</v>
      </c>
      <c r="V276" s="3" t="n">
        <v>2337</v>
      </c>
      <c r="W276" s="2" t="inlineStr">
        <is>
          <t>Subscription retention improving month-over-month.</t>
        </is>
      </c>
    </row>
    <row r="277">
      <c r="A277" s="4" t="inlineStr">
        <is>
          <t>2024-10-02</t>
        </is>
      </c>
      <c r="B277" s="4" t="inlineStr">
        <is>
          <t>Wednesday</t>
        </is>
      </c>
      <c r="C277" s="4" t="n">
        <v>40</v>
      </c>
      <c r="D277" s="4" t="n">
        <v>10</v>
      </c>
      <c r="E277" s="4" t="n">
        <v>4</v>
      </c>
      <c r="F277" s="4" t="inlineStr">
        <is>
          <t>Fall</t>
        </is>
      </c>
      <c r="G277" s="4" t="inlineStr">
        <is>
          <t>Holiday Push</t>
        </is>
      </c>
      <c r="H277" s="5">
        <f>1913.32</f>
        <v/>
      </c>
      <c r="I277" s="5" t="n">
        <v>17389</v>
      </c>
      <c r="J277" s="5" t="n">
        <v>935</v>
      </c>
      <c r="K277" s="5">
        <f>ROUND(C277/I277*100,2)</f>
        <v/>
      </c>
      <c r="L277" s="5" t="n">
        <v>47</v>
      </c>
      <c r="M277" s="5" t="n">
        <v>45</v>
      </c>
      <c r="N277" s="5" t="n">
        <v>92</v>
      </c>
      <c r="O277" s="5">
        <f>ROUND(N277/J277*100,2)</f>
        <v/>
      </c>
      <c r="P277" s="5">
        <f>5111.25</f>
        <v/>
      </c>
      <c r="Q277" s="5">
        <f>ROUND(P277/H277,2)</f>
        <v/>
      </c>
      <c r="R277" s="5">
        <f>IF(K277&gt;0,ROUND(H277/K277,2),999)</f>
        <v/>
      </c>
      <c r="S277" s="5" t="inlineStr">
        <is>
          <t>Meal Kit</t>
        </is>
      </c>
      <c r="T277" s="5" t="n">
        <v>306</v>
      </c>
      <c r="U277" s="5" t="n">
        <v>192</v>
      </c>
      <c r="V277" s="5" t="n">
        <v>4438</v>
      </c>
      <c r="W277" s="4" t="inlineStr">
        <is>
          <t>High-intent keyword performance exceeding benchmarks.</t>
        </is>
      </c>
    </row>
    <row r="278">
      <c r="A278" s="2" t="inlineStr">
        <is>
          <t>2024-10-03</t>
        </is>
      </c>
      <c r="B278" s="2" t="inlineStr">
        <is>
          <t>Thursday</t>
        </is>
      </c>
      <c r="C278" s="2" t="n">
        <v>40</v>
      </c>
      <c r="D278" s="2" t="n">
        <v>10</v>
      </c>
      <c r="E278" s="2" t="n">
        <v>4</v>
      </c>
      <c r="F278" s="2" t="inlineStr">
        <is>
          <t>Fall</t>
        </is>
      </c>
      <c r="G278" s="2" t="inlineStr">
        <is>
          <t>Holiday Push</t>
        </is>
      </c>
      <c r="H278" s="3">
        <f>2038.22</f>
        <v/>
      </c>
      <c r="I278" s="3" t="n">
        <v>23051</v>
      </c>
      <c r="J278" s="3" t="n">
        <v>1494</v>
      </c>
      <c r="K278" s="3">
        <f>ROUND(C278/I278*100,2)</f>
        <v/>
      </c>
      <c r="L278" s="3" t="n">
        <v>93</v>
      </c>
      <c r="M278" s="3" t="n">
        <v>44</v>
      </c>
      <c r="N278" s="3" t="n">
        <v>137</v>
      </c>
      <c r="O278" s="3">
        <f>ROUND(N278/J278*100,2)</f>
        <v/>
      </c>
      <c r="P278" s="3">
        <f>7407.00</f>
        <v/>
      </c>
      <c r="Q278" s="3">
        <f>ROUND(P278/H278,2)</f>
        <v/>
      </c>
      <c r="R278" s="3">
        <f>IF(K278&gt;0,ROUND(H278/K278,2),999)</f>
        <v/>
      </c>
      <c r="S278" s="3" t="inlineStr">
        <is>
          <t>Meal Kit</t>
        </is>
      </c>
      <c r="T278" s="3" t="n">
        <v>683</v>
      </c>
      <c r="U278" s="3" t="n">
        <v>364</v>
      </c>
      <c r="V278" s="3" t="n">
        <v>5529</v>
      </c>
      <c r="W278" s="2" t="inlineStr">
        <is>
          <t>Weather-dependent category performance noted.</t>
        </is>
      </c>
    </row>
    <row r="279">
      <c r="A279" s="4" t="inlineStr">
        <is>
          <t>2024-10-04</t>
        </is>
      </c>
      <c r="B279" s="4" t="inlineStr">
        <is>
          <t>Friday</t>
        </is>
      </c>
      <c r="C279" s="4" t="n">
        <v>40</v>
      </c>
      <c r="D279" s="4" t="n">
        <v>10</v>
      </c>
      <c r="E279" s="4" t="n">
        <v>4</v>
      </c>
      <c r="F279" s="4" t="inlineStr">
        <is>
          <t>Fall</t>
        </is>
      </c>
      <c r="G279" s="4" t="inlineStr">
        <is>
          <t>Holiday Push</t>
        </is>
      </c>
      <c r="H279" s="5">
        <f>1751.61</f>
        <v/>
      </c>
      <c r="I279" s="5" t="n">
        <v>16351</v>
      </c>
      <c r="J279" s="5" t="n">
        <v>442</v>
      </c>
      <c r="K279" s="5">
        <f>ROUND(C279/I279*100,2)</f>
        <v/>
      </c>
      <c r="L279" s="5" t="n">
        <v>49</v>
      </c>
      <c r="M279" s="5" t="n">
        <v>17</v>
      </c>
      <c r="N279" s="5" t="n">
        <v>66</v>
      </c>
      <c r="O279" s="5">
        <f>ROUND(N279/J279*100,2)</f>
        <v/>
      </c>
      <c r="P279" s="5">
        <f>4213.07</f>
        <v/>
      </c>
      <c r="Q279" s="5">
        <f>ROUND(P279/H279,2)</f>
        <v/>
      </c>
      <c r="R279" s="5">
        <f>IF(K279&gt;0,ROUND(H279/K279,2),999)</f>
        <v/>
      </c>
      <c r="S279" s="5" t="inlineStr">
        <is>
          <t>Snack Box</t>
        </is>
      </c>
      <c r="T279" s="5" t="n">
        <v>247</v>
      </c>
      <c r="U279" s="5" t="n">
        <v>107</v>
      </c>
      <c r="V279" s="5" t="n">
        <v>3087</v>
      </c>
      <c r="W279" s="4" t="inlineStr">
        <is>
          <t>Weekend dip in conversions, organic traffic remains steady.</t>
        </is>
      </c>
    </row>
    <row r="280">
      <c r="A280" s="2" t="inlineStr">
        <is>
          <t>2024-10-05</t>
        </is>
      </c>
      <c r="B280" s="2" t="inlineStr">
        <is>
          <t>Saturday</t>
        </is>
      </c>
      <c r="C280" s="2" t="n">
        <v>40</v>
      </c>
      <c r="D280" s="2" t="n">
        <v>10</v>
      </c>
      <c r="E280" s="2" t="n">
        <v>4</v>
      </c>
      <c r="F280" s="2" t="inlineStr">
        <is>
          <t>Fall</t>
        </is>
      </c>
      <c r="G280" s="2" t="inlineStr">
        <is>
          <t>Holiday Push</t>
        </is>
      </c>
      <c r="H280" s="3">
        <f>1511.60</f>
        <v/>
      </c>
      <c r="I280" s="3" t="n">
        <v>15344</v>
      </c>
      <c r="J280" s="3" t="n">
        <v>782</v>
      </c>
      <c r="K280" s="3">
        <f>ROUND(C280/I280*100,2)</f>
        <v/>
      </c>
      <c r="L280" s="3" t="n">
        <v>91</v>
      </c>
      <c r="M280" s="3" t="n">
        <v>15</v>
      </c>
      <c r="N280" s="3" t="n">
        <v>106</v>
      </c>
      <c r="O280" s="3">
        <f>ROUND(N280/J280*100,2)</f>
        <v/>
      </c>
      <c r="P280" s="3">
        <f>6321.72</f>
        <v/>
      </c>
      <c r="Q280" s="3">
        <f>ROUND(P280/H280,2)</f>
        <v/>
      </c>
      <c r="R280" s="3">
        <f>IF(K280&gt;0,ROUND(H280/K280,2),999)</f>
        <v/>
      </c>
      <c r="S280" s="3" t="inlineStr">
        <is>
          <t>Meal Kit</t>
        </is>
      </c>
      <c r="T280" s="3" t="n">
        <v>252</v>
      </c>
      <c r="U280" s="3" t="n">
        <v>163</v>
      </c>
      <c r="V280" s="3" t="n">
        <v>4868</v>
      </c>
      <c r="W280" s="2" t="inlineStr">
        <is>
          <t>Bundle promotion resonating with families segment.</t>
        </is>
      </c>
    </row>
    <row r="281">
      <c r="A281" s="4" t="inlineStr">
        <is>
          <t>2024-10-06</t>
        </is>
      </c>
      <c r="B281" s="4" t="inlineStr">
        <is>
          <t>Sunday</t>
        </is>
      </c>
      <c r="C281" s="4" t="n">
        <v>40</v>
      </c>
      <c r="D281" s="4" t="n">
        <v>10</v>
      </c>
      <c r="E281" s="4" t="n">
        <v>4</v>
      </c>
      <c r="F281" s="4" t="inlineStr">
        <is>
          <t>Fall</t>
        </is>
      </c>
      <c r="G281" s="4" t="inlineStr">
        <is>
          <t>Holiday Push</t>
        </is>
      </c>
      <c r="H281" s="5">
        <f>1472.40</f>
        <v/>
      </c>
      <c r="I281" s="5" t="n">
        <v>20687</v>
      </c>
      <c r="J281" s="5" t="n">
        <v>1060</v>
      </c>
      <c r="K281" s="5">
        <f>ROUND(C281/I281*100,2)</f>
        <v/>
      </c>
      <c r="L281" s="5" t="n">
        <v>57</v>
      </c>
      <c r="M281" s="5" t="n">
        <v>22</v>
      </c>
      <c r="N281" s="5" t="n">
        <v>79</v>
      </c>
      <c r="O281" s="5">
        <f>ROUND(N281/J281*100,2)</f>
        <v/>
      </c>
      <c r="P281" s="5">
        <f>3837.12</f>
        <v/>
      </c>
      <c r="Q281" s="5">
        <f>ROUND(P281/H281,2)</f>
        <v/>
      </c>
      <c r="R281" s="5">
        <f>IF(K281&gt;0,ROUND(H281/K281,2),999)</f>
        <v/>
      </c>
      <c r="S281" s="5" t="inlineStr">
        <is>
          <t>Snack Box</t>
        </is>
      </c>
      <c r="T281" s="5" t="n">
        <v>372</v>
      </c>
      <c r="U281" s="5" t="n">
        <v>70</v>
      </c>
      <c r="V281" s="5" t="n">
        <v>2139</v>
      </c>
      <c r="W281" s="4" t="inlineStr">
        <is>
          <t>YouTube pre-roll tested with product demo creatives.</t>
        </is>
      </c>
    </row>
    <row r="282">
      <c r="A282" s="2" t="inlineStr">
        <is>
          <t>2024-10-07</t>
        </is>
      </c>
      <c r="B282" s="2" t="inlineStr">
        <is>
          <t>Monday</t>
        </is>
      </c>
      <c r="C282" s="2" t="n">
        <v>41</v>
      </c>
      <c r="D282" s="2" t="n">
        <v>10</v>
      </c>
      <c r="E282" s="2" t="n">
        <v>4</v>
      </c>
      <c r="F282" s="2" t="inlineStr">
        <is>
          <t>Fall</t>
        </is>
      </c>
      <c r="G282" s="2" t="inlineStr">
        <is>
          <t>Holiday Push</t>
        </is>
      </c>
      <c r="H282" s="3">
        <f>1986.10</f>
        <v/>
      </c>
      <c r="I282" s="3" t="n">
        <v>22603</v>
      </c>
      <c r="J282" s="3" t="n">
        <v>519</v>
      </c>
      <c r="K282" s="3">
        <f>ROUND(C282/I282*100,2)</f>
        <v/>
      </c>
      <c r="L282" s="3" t="n">
        <v>59</v>
      </c>
      <c r="M282" s="3" t="n">
        <v>28</v>
      </c>
      <c r="N282" s="3" t="n">
        <v>87</v>
      </c>
      <c r="O282" s="3">
        <f>ROUND(N282/J282*100,2)</f>
        <v/>
      </c>
      <c r="P282" s="3">
        <f>5285.11</f>
        <v/>
      </c>
      <c r="Q282" s="3">
        <f>ROUND(P282/H282,2)</f>
        <v/>
      </c>
      <c r="R282" s="3">
        <f>IF(K282&gt;0,ROUND(H282/K282,2),999)</f>
        <v/>
      </c>
      <c r="S282" s="3" t="inlineStr">
        <is>
          <t>Snack Box</t>
        </is>
      </c>
      <c r="T282" s="3" t="n">
        <v>336</v>
      </c>
      <c r="U282" s="3" t="n">
        <v>116</v>
      </c>
      <c r="V282" s="3" t="n">
        <v>8312</v>
      </c>
      <c r="W282" s="2" t="inlineStr">
        <is>
          <t>Weather-dependent category performance noted.</t>
        </is>
      </c>
    </row>
    <row r="283">
      <c r="A283" s="4" t="inlineStr">
        <is>
          <t>2024-10-08</t>
        </is>
      </c>
      <c r="B283" s="4" t="inlineStr">
        <is>
          <t>Tuesday</t>
        </is>
      </c>
      <c r="C283" s="4" t="n">
        <v>41</v>
      </c>
      <c r="D283" s="4" t="n">
        <v>10</v>
      </c>
      <c r="E283" s="4" t="n">
        <v>4</v>
      </c>
      <c r="F283" s="4" t="inlineStr">
        <is>
          <t>Fall</t>
        </is>
      </c>
      <c r="G283" s="4" t="inlineStr">
        <is>
          <t>Holiday Push</t>
        </is>
      </c>
      <c r="H283" s="5">
        <f>1931.72</f>
        <v/>
      </c>
      <c r="I283" s="5" t="n">
        <v>20774</v>
      </c>
      <c r="J283" s="5" t="n">
        <v>1278</v>
      </c>
      <c r="K283" s="5">
        <f>ROUND(C283/I283*100,2)</f>
        <v/>
      </c>
      <c r="L283" s="5" t="n">
        <v>127</v>
      </c>
      <c r="M283" s="5" t="n">
        <v>74</v>
      </c>
      <c r="N283" s="5" t="n">
        <v>201</v>
      </c>
      <c r="O283" s="5">
        <f>ROUND(N283/J283*100,2)</f>
        <v/>
      </c>
      <c r="P283" s="5">
        <f>9579.90</f>
        <v/>
      </c>
      <c r="Q283" s="5">
        <f>ROUND(P283/H283,2)</f>
        <v/>
      </c>
      <c r="R283" s="5">
        <f>IF(K283&gt;0,ROUND(H283/K283,2),999)</f>
        <v/>
      </c>
      <c r="S283" s="5" t="inlineStr">
        <is>
          <t>Pantry</t>
        </is>
      </c>
      <c r="T283" s="5" t="n">
        <v>699</v>
      </c>
      <c r="U283" s="5" t="n">
        <v>225</v>
      </c>
      <c r="V283" s="5" t="n">
        <v>6565</v>
      </c>
      <c r="W283" s="4" t="inlineStr">
        <is>
          <t>Email list fatigue evident, segment optimization recommended.</t>
        </is>
      </c>
    </row>
    <row r="284">
      <c r="A284" s="2" t="inlineStr">
        <is>
          <t>2024-10-09</t>
        </is>
      </c>
      <c r="B284" s="2" t="inlineStr">
        <is>
          <t>Wednesday</t>
        </is>
      </c>
      <c r="C284" s="2" t="n">
        <v>41</v>
      </c>
      <c r="D284" s="2" t="n">
        <v>10</v>
      </c>
      <c r="E284" s="2" t="n">
        <v>4</v>
      </c>
      <c r="F284" s="2" t="inlineStr">
        <is>
          <t>Fall</t>
        </is>
      </c>
      <c r="G284" s="2" t="inlineStr">
        <is>
          <t>Holiday Push</t>
        </is>
      </c>
      <c r="H284" s="3">
        <f>2230.65</f>
        <v/>
      </c>
      <c r="I284" s="3" t="n">
        <v>26186</v>
      </c>
      <c r="J284" s="3" t="n">
        <v>1838</v>
      </c>
      <c r="K284" s="3">
        <f>ROUND(C284/I284*100,2)</f>
        <v/>
      </c>
      <c r="L284" s="3" t="n">
        <v>189</v>
      </c>
      <c r="M284" s="3" t="n">
        <v>107</v>
      </c>
      <c r="N284" s="3" t="n">
        <v>296</v>
      </c>
      <c r="O284" s="3">
        <f>ROUND(N284/J284*100,2)</f>
        <v/>
      </c>
      <c r="P284" s="3">
        <f>19022.84</f>
        <v/>
      </c>
      <c r="Q284" s="3">
        <f>ROUND(P284/H284,2)</f>
        <v/>
      </c>
      <c r="R284" s="3">
        <f>IF(K284&gt;0,ROUND(H284/K284,2),999)</f>
        <v/>
      </c>
      <c r="S284" s="3" t="inlineStr">
        <is>
          <t>Snack Box</t>
        </is>
      </c>
      <c r="T284" s="3" t="n">
        <v>900</v>
      </c>
      <c r="U284" s="3" t="n">
        <v>165</v>
      </c>
      <c r="V284" s="3" t="n">
        <v>3756</v>
      </c>
      <c r="W284" s="2" t="inlineStr">
        <is>
          <t>Weather-dependent category performance noted.</t>
        </is>
      </c>
    </row>
    <row r="285">
      <c r="A285" s="4" t="inlineStr">
        <is>
          <t>2024-10-10</t>
        </is>
      </c>
      <c r="B285" s="4" t="inlineStr">
        <is>
          <t>Thursday</t>
        </is>
      </c>
      <c r="C285" s="4" t="n">
        <v>41</v>
      </c>
      <c r="D285" s="4" t="n">
        <v>10</v>
      </c>
      <c r="E285" s="4" t="n">
        <v>4</v>
      </c>
      <c r="F285" s="4" t="inlineStr">
        <is>
          <t>Fall</t>
        </is>
      </c>
      <c r="G285" s="4" t="inlineStr">
        <is>
          <t>Holiday Push</t>
        </is>
      </c>
      <c r="H285" s="5">
        <f>1893.35</f>
        <v/>
      </c>
      <c r="I285" s="5" t="n">
        <v>27688</v>
      </c>
      <c r="J285" s="5" t="n">
        <v>1050</v>
      </c>
      <c r="K285" s="5">
        <f>ROUND(C285/I285*100,2)</f>
        <v/>
      </c>
      <c r="L285" s="5" t="n">
        <v>120</v>
      </c>
      <c r="M285" s="5" t="n">
        <v>30</v>
      </c>
      <c r="N285" s="5" t="n">
        <v>150</v>
      </c>
      <c r="O285" s="5">
        <f>ROUND(N285/J285*100,2)</f>
        <v/>
      </c>
      <c r="P285" s="5">
        <f>7045.24</f>
        <v/>
      </c>
      <c r="Q285" s="5">
        <f>ROUND(P285/H285,2)</f>
        <v/>
      </c>
      <c r="R285" s="5">
        <f>IF(K285&gt;0,ROUND(H285/K285,2),999)</f>
        <v/>
      </c>
      <c r="S285" s="5" t="inlineStr">
        <is>
          <t>Pantry</t>
        </is>
      </c>
      <c r="T285" s="5" t="n">
        <v>654</v>
      </c>
      <c r="U285" s="5" t="n">
        <v>197</v>
      </c>
      <c r="V285" s="5" t="n">
        <v>9350</v>
      </c>
      <c r="W285" s="4" t="inlineStr">
        <is>
          <t>Subscription retention improving month-over-month.</t>
        </is>
      </c>
    </row>
    <row r="286">
      <c r="A286" s="2" t="inlineStr">
        <is>
          <t>2024-10-11</t>
        </is>
      </c>
      <c r="B286" s="2" t="inlineStr">
        <is>
          <t>Friday</t>
        </is>
      </c>
      <c r="C286" s="2" t="n">
        <v>41</v>
      </c>
      <c r="D286" s="2" t="n">
        <v>10</v>
      </c>
      <c r="E286" s="2" t="n">
        <v>4</v>
      </c>
      <c r="F286" s="2" t="inlineStr">
        <is>
          <t>Fall</t>
        </is>
      </c>
      <c r="G286" s="2" t="inlineStr">
        <is>
          <t>Holiday Push</t>
        </is>
      </c>
      <c r="H286" s="3">
        <f>2026.67</f>
        <v/>
      </c>
      <c r="I286" s="3" t="n">
        <v>29626</v>
      </c>
      <c r="J286" s="3" t="n">
        <v>2125</v>
      </c>
      <c r="K286" s="3">
        <f>ROUND(C286/I286*100,2)</f>
        <v/>
      </c>
      <c r="L286" s="3" t="n">
        <v>232</v>
      </c>
      <c r="M286" s="3" t="n">
        <v>105</v>
      </c>
      <c r="N286" s="3" t="n">
        <v>337</v>
      </c>
      <c r="O286" s="3">
        <f>ROUND(N286/J286*100,2)</f>
        <v/>
      </c>
      <c r="P286" s="3">
        <f>18590.76</f>
        <v/>
      </c>
      <c r="Q286" s="3">
        <f>ROUND(P286/H286,2)</f>
        <v/>
      </c>
      <c r="R286" s="3">
        <f>IF(K286&gt;0,ROUND(H286/K286,2),999)</f>
        <v/>
      </c>
      <c r="S286" s="3" t="inlineStr">
        <is>
          <t>Meal Kit</t>
        </is>
      </c>
      <c r="T286" s="3" t="n">
        <v>870</v>
      </c>
      <c r="U286" s="3" t="n">
        <v>409</v>
      </c>
      <c r="V286" s="3" t="n">
        <v>5899</v>
      </c>
      <c r="W286" s="2" t="inlineStr">
        <is>
          <t>Meta lookalike audience expansion successful.</t>
        </is>
      </c>
    </row>
    <row r="287">
      <c r="A287" s="4" t="inlineStr">
        <is>
          <t>2024-10-12</t>
        </is>
      </c>
      <c r="B287" s="4" t="inlineStr">
        <is>
          <t>Saturday</t>
        </is>
      </c>
      <c r="C287" s="4" t="n">
        <v>41</v>
      </c>
      <c r="D287" s="4" t="n">
        <v>10</v>
      </c>
      <c r="E287" s="4" t="n">
        <v>4</v>
      </c>
      <c r="F287" s="4" t="inlineStr">
        <is>
          <t>Fall</t>
        </is>
      </c>
      <c r="G287" s="4" t="inlineStr">
        <is>
          <t>Holiday Push</t>
        </is>
      </c>
      <c r="H287" s="5">
        <f>1437.16</f>
        <v/>
      </c>
      <c r="I287" s="5" t="n">
        <v>12217</v>
      </c>
      <c r="J287" s="5" t="n">
        <v>722</v>
      </c>
      <c r="K287" s="5">
        <f>ROUND(C287/I287*100,2)</f>
        <v/>
      </c>
      <c r="L287" s="5" t="n">
        <v>81</v>
      </c>
      <c r="M287" s="5" t="n">
        <v>17</v>
      </c>
      <c r="N287" s="5" t="n">
        <v>98</v>
      </c>
      <c r="O287" s="5">
        <f>ROUND(N287/J287*100,2)</f>
        <v/>
      </c>
      <c r="P287" s="5">
        <f>5908.28</f>
        <v/>
      </c>
      <c r="Q287" s="5">
        <f>ROUND(P287/H287,2)</f>
        <v/>
      </c>
      <c r="R287" s="5">
        <f>IF(K287&gt;0,ROUND(H287/K287,2),999)</f>
        <v/>
      </c>
      <c r="S287" s="5" t="inlineStr">
        <is>
          <t>Pantry</t>
        </is>
      </c>
      <c r="T287" s="5" t="n">
        <v>407</v>
      </c>
      <c r="U287" s="5" t="n">
        <v>164</v>
      </c>
      <c r="V287" s="5" t="n">
        <v>3704</v>
      </c>
      <c r="W287" s="4" t="inlineStr">
        <is>
          <t>Budget reallocation to top-performing Google Shopping ads.</t>
        </is>
      </c>
    </row>
    <row r="288">
      <c r="A288" s="2" t="inlineStr">
        <is>
          <t>2024-10-13</t>
        </is>
      </c>
      <c r="B288" s="2" t="inlineStr">
        <is>
          <t>Sunday</t>
        </is>
      </c>
      <c r="C288" s="2" t="n">
        <v>41</v>
      </c>
      <c r="D288" s="2" t="n">
        <v>10</v>
      </c>
      <c r="E288" s="2" t="n">
        <v>4</v>
      </c>
      <c r="F288" s="2" t="inlineStr">
        <is>
          <t>Fall</t>
        </is>
      </c>
      <c r="G288" s="2" t="inlineStr">
        <is>
          <t>Holiday Push</t>
        </is>
      </c>
      <c r="H288" s="3">
        <f>1478.96</f>
        <v/>
      </c>
      <c r="I288" s="3" t="n">
        <v>21341</v>
      </c>
      <c r="J288" s="3" t="n">
        <v>1091</v>
      </c>
      <c r="K288" s="3">
        <f>ROUND(C288/I288*100,2)</f>
        <v/>
      </c>
      <c r="L288" s="3" t="n">
        <v>113</v>
      </c>
      <c r="M288" s="3" t="n">
        <v>60</v>
      </c>
      <c r="N288" s="3" t="n">
        <v>173</v>
      </c>
      <c r="O288" s="3">
        <f>ROUND(N288/J288*100,2)</f>
        <v/>
      </c>
      <c r="P288" s="3">
        <f>8457.28</f>
        <v/>
      </c>
      <c r="Q288" s="3">
        <f>ROUND(P288/H288,2)</f>
        <v/>
      </c>
      <c r="R288" s="3">
        <f>IF(K288&gt;0,ROUND(H288/K288,2),999)</f>
        <v/>
      </c>
      <c r="S288" s="3" t="inlineStr">
        <is>
          <t>Meal Kit</t>
        </is>
      </c>
      <c r="T288" s="3" t="n">
        <v>412</v>
      </c>
      <c r="U288" s="3" t="n">
        <v>244</v>
      </c>
      <c r="V288" s="3" t="n">
        <v>3804</v>
      </c>
      <c r="W288" s="2" t="inlineStr">
        <is>
          <t>Budget reallocation to top-performing Google Shopping ads.</t>
        </is>
      </c>
    </row>
    <row r="289">
      <c r="A289" s="4" t="inlineStr">
        <is>
          <t>2024-10-14</t>
        </is>
      </c>
      <c r="B289" s="4" t="inlineStr">
        <is>
          <t>Monday</t>
        </is>
      </c>
      <c r="C289" s="4" t="n">
        <v>42</v>
      </c>
      <c r="D289" s="4" t="n">
        <v>10</v>
      </c>
      <c r="E289" s="4" t="n">
        <v>4</v>
      </c>
      <c r="F289" s="4" t="inlineStr">
        <is>
          <t>Fall</t>
        </is>
      </c>
      <c r="G289" s="4" t="inlineStr">
        <is>
          <t>Holiday Push</t>
        </is>
      </c>
      <c r="H289" s="5">
        <f>2193.74</f>
        <v/>
      </c>
      <c r="I289" s="5" t="n">
        <v>21883</v>
      </c>
      <c r="J289" s="5" t="n">
        <v>905</v>
      </c>
      <c r="K289" s="5">
        <f>ROUND(C289/I289*100,2)</f>
        <v/>
      </c>
      <c r="L289" s="5" t="n">
        <v>57</v>
      </c>
      <c r="M289" s="5" t="n">
        <v>19</v>
      </c>
      <c r="N289" s="5" t="n">
        <v>76</v>
      </c>
      <c r="O289" s="5">
        <f>ROUND(N289/J289*100,2)</f>
        <v/>
      </c>
      <c r="P289" s="5">
        <f>3545.16</f>
        <v/>
      </c>
      <c r="Q289" s="5">
        <f>ROUND(P289/H289,2)</f>
        <v/>
      </c>
      <c r="R289" s="5">
        <f>IF(K289&gt;0,ROUND(H289/K289,2),999)</f>
        <v/>
      </c>
      <c r="S289" s="5" t="inlineStr">
        <is>
          <t>Snack Box</t>
        </is>
      </c>
      <c r="T289" s="5" t="n">
        <v>506</v>
      </c>
      <c r="U289" s="5" t="n">
        <v>134</v>
      </c>
      <c r="V289" s="5" t="n">
        <v>2763</v>
      </c>
      <c r="W289" s="4" t="inlineStr">
        <is>
          <t>High-intent keyword performance exceeding benchmarks.</t>
        </is>
      </c>
    </row>
    <row r="290">
      <c r="A290" s="2" t="inlineStr">
        <is>
          <t>2024-10-15</t>
        </is>
      </c>
      <c r="B290" s="2" t="inlineStr">
        <is>
          <t>Tuesday</t>
        </is>
      </c>
      <c r="C290" s="2" t="n">
        <v>42</v>
      </c>
      <c r="D290" s="2" t="n">
        <v>10</v>
      </c>
      <c r="E290" s="2" t="n">
        <v>4</v>
      </c>
      <c r="F290" s="2" t="inlineStr">
        <is>
          <t>Fall</t>
        </is>
      </c>
      <c r="G290" s="2" t="inlineStr">
        <is>
          <t>Holiday Push</t>
        </is>
      </c>
      <c r="H290" s="3">
        <f>2101.96</f>
        <v/>
      </c>
      <c r="I290" s="3" t="n">
        <v>19684</v>
      </c>
      <c r="J290" s="3" t="n">
        <v>554</v>
      </c>
      <c r="K290" s="3">
        <f>ROUND(C290/I290*100,2)</f>
        <v/>
      </c>
      <c r="L290" s="3" t="n">
        <v>56</v>
      </c>
      <c r="M290" s="3" t="n">
        <v>25</v>
      </c>
      <c r="N290" s="3" t="n">
        <v>81</v>
      </c>
      <c r="O290" s="3">
        <f>ROUND(N290/J290*100,2)</f>
        <v/>
      </c>
      <c r="P290" s="3">
        <f>4036.25</f>
        <v/>
      </c>
      <c r="Q290" s="3">
        <f>ROUND(P290/H290,2)</f>
        <v/>
      </c>
      <c r="R290" s="3">
        <f>IF(K290&gt;0,ROUND(H290/K290,2),999)</f>
        <v/>
      </c>
      <c r="S290" s="3" t="inlineStr">
        <is>
          <t>Snack Box</t>
        </is>
      </c>
      <c r="T290" s="3" t="n">
        <v>246</v>
      </c>
      <c r="U290" s="3" t="n">
        <v>97</v>
      </c>
      <c r="V290" s="3" t="n">
        <v>3461</v>
      </c>
      <c r="W290" s="2" t="inlineStr">
        <is>
          <t>Weather-dependent category performance noted.</t>
        </is>
      </c>
    </row>
    <row r="291">
      <c r="A291" s="4" t="inlineStr">
        <is>
          <t>2024-10-16</t>
        </is>
      </c>
      <c r="B291" s="4" t="inlineStr">
        <is>
          <t>Wednesday</t>
        </is>
      </c>
      <c r="C291" s="4" t="n">
        <v>42</v>
      </c>
      <c r="D291" s="4" t="n">
        <v>10</v>
      </c>
      <c r="E291" s="4" t="n">
        <v>4</v>
      </c>
      <c r="F291" s="4" t="inlineStr">
        <is>
          <t>Fall</t>
        </is>
      </c>
      <c r="G291" s="4" t="inlineStr">
        <is>
          <t>Holiday Push</t>
        </is>
      </c>
      <c r="H291" s="5">
        <f>2108.16</f>
        <v/>
      </c>
      <c r="I291" s="5" t="n">
        <v>25409</v>
      </c>
      <c r="J291" s="5" t="n">
        <v>738</v>
      </c>
      <c r="K291" s="5">
        <f>ROUND(C291/I291*100,2)</f>
        <v/>
      </c>
      <c r="L291" s="5" t="n">
        <v>73</v>
      </c>
      <c r="M291" s="5" t="n">
        <v>37</v>
      </c>
      <c r="N291" s="5" t="n">
        <v>110</v>
      </c>
      <c r="O291" s="5">
        <f>ROUND(N291/J291*100,2)</f>
        <v/>
      </c>
      <c r="P291" s="5">
        <f>6726.09</f>
        <v/>
      </c>
      <c r="Q291" s="5">
        <f>ROUND(P291/H291,2)</f>
        <v/>
      </c>
      <c r="R291" s="5">
        <f>IF(K291&gt;0,ROUND(H291/K291,2),999)</f>
        <v/>
      </c>
      <c r="S291" s="5" t="inlineStr">
        <is>
          <t>Pantry</t>
        </is>
      </c>
      <c r="T291" s="5" t="n">
        <v>539</v>
      </c>
      <c r="U291" s="5" t="n">
        <v>147</v>
      </c>
      <c r="V291" s="5" t="n">
        <v>9758</v>
      </c>
      <c r="W291" s="4" t="inlineStr">
        <is>
          <t>Competitor promotion detected, reduced CPA achieved through optimization.</t>
        </is>
      </c>
    </row>
    <row r="292">
      <c r="A292" s="2" t="inlineStr">
        <is>
          <t>2024-10-17</t>
        </is>
      </c>
      <c r="B292" s="2" t="inlineStr">
        <is>
          <t>Thursday</t>
        </is>
      </c>
      <c r="C292" s="2" t="n">
        <v>42</v>
      </c>
      <c r="D292" s="2" t="n">
        <v>10</v>
      </c>
      <c r="E292" s="2" t="n">
        <v>4</v>
      </c>
      <c r="F292" s="2" t="inlineStr">
        <is>
          <t>Fall</t>
        </is>
      </c>
      <c r="G292" s="2" t="inlineStr">
        <is>
          <t>Holiday Push</t>
        </is>
      </c>
      <c r="H292" s="3">
        <f>1675.86</f>
        <v/>
      </c>
      <c r="I292" s="3" t="n">
        <v>17738</v>
      </c>
      <c r="J292" s="3" t="n">
        <v>761</v>
      </c>
      <c r="K292" s="3">
        <f>ROUND(C292/I292*100,2)</f>
        <v/>
      </c>
      <c r="L292" s="3" t="n">
        <v>45</v>
      </c>
      <c r="M292" s="3" t="n">
        <v>40</v>
      </c>
      <c r="N292" s="3" t="n">
        <v>85</v>
      </c>
      <c r="O292" s="3">
        <f>ROUND(N292/J292*100,2)</f>
        <v/>
      </c>
      <c r="P292" s="3">
        <f>4643.21</f>
        <v/>
      </c>
      <c r="Q292" s="3">
        <f>ROUND(P292/H292,2)</f>
        <v/>
      </c>
      <c r="R292" s="3">
        <f>IF(K292&gt;0,ROUND(H292/K292,2),999)</f>
        <v/>
      </c>
      <c r="S292" s="3" t="inlineStr">
        <is>
          <t>Pantry</t>
        </is>
      </c>
      <c r="T292" s="3" t="n">
        <v>526</v>
      </c>
      <c r="U292" s="3" t="n">
        <v>45</v>
      </c>
      <c r="V292" s="3" t="n">
        <v>4904</v>
      </c>
      <c r="W292" s="2" t="inlineStr">
        <is>
          <t>Display network efficiency improved after audience refinement.</t>
        </is>
      </c>
    </row>
    <row r="293">
      <c r="A293" s="4" t="inlineStr">
        <is>
          <t>2024-10-18</t>
        </is>
      </c>
      <c r="B293" s="4" t="inlineStr">
        <is>
          <t>Friday</t>
        </is>
      </c>
      <c r="C293" s="4" t="n">
        <v>42</v>
      </c>
      <c r="D293" s="4" t="n">
        <v>10</v>
      </c>
      <c r="E293" s="4" t="n">
        <v>4</v>
      </c>
      <c r="F293" s="4" t="inlineStr">
        <is>
          <t>Fall</t>
        </is>
      </c>
      <c r="G293" s="4" t="inlineStr">
        <is>
          <t>Holiday Push</t>
        </is>
      </c>
      <c r="H293" s="5">
        <f>1720.37</f>
        <v/>
      </c>
      <c r="I293" s="5" t="n">
        <v>16036</v>
      </c>
      <c r="J293" s="5" t="n">
        <v>546</v>
      </c>
      <c r="K293" s="5">
        <f>ROUND(C293/I293*100,2)</f>
        <v/>
      </c>
      <c r="L293" s="5" t="n">
        <v>31</v>
      </c>
      <c r="M293" s="5" t="n">
        <v>14</v>
      </c>
      <c r="N293" s="5" t="n">
        <v>45</v>
      </c>
      <c r="O293" s="5">
        <f>ROUND(N293/J293*100,2)</f>
        <v/>
      </c>
      <c r="P293" s="5">
        <f>2026.08</f>
        <v/>
      </c>
      <c r="Q293" s="5">
        <f>ROUND(P293/H293,2)</f>
        <v/>
      </c>
      <c r="R293" s="5">
        <f>IF(K293&gt;0,ROUND(H293/K293,2),999)</f>
        <v/>
      </c>
      <c r="S293" s="5" t="inlineStr">
        <is>
          <t>Snack Box</t>
        </is>
      </c>
      <c r="T293" s="5" t="n">
        <v>206</v>
      </c>
      <c r="U293" s="5" t="n">
        <v>115</v>
      </c>
      <c r="V293" s="5" t="n">
        <v>5634</v>
      </c>
      <c r="W293" s="4" t="inlineStr">
        <is>
          <t>Competitor promotion detected, reduced CPA achieved through optimization.</t>
        </is>
      </c>
    </row>
    <row r="294">
      <c r="A294" s="2" t="inlineStr">
        <is>
          <t>2024-10-19</t>
        </is>
      </c>
      <c r="B294" s="2" t="inlineStr">
        <is>
          <t>Saturday</t>
        </is>
      </c>
      <c r="C294" s="2" t="n">
        <v>42</v>
      </c>
      <c r="D294" s="2" t="n">
        <v>10</v>
      </c>
      <c r="E294" s="2" t="n">
        <v>4</v>
      </c>
      <c r="F294" s="2" t="inlineStr">
        <is>
          <t>Fall</t>
        </is>
      </c>
      <c r="G294" s="2" t="inlineStr">
        <is>
          <t>Holiday Push</t>
        </is>
      </c>
      <c r="H294" s="3">
        <f>1555.98</f>
        <v/>
      </c>
      <c r="I294" s="3" t="n">
        <v>21924</v>
      </c>
      <c r="J294" s="3" t="n">
        <v>1271</v>
      </c>
      <c r="K294" s="3">
        <f>ROUND(C294/I294*100,2)</f>
        <v/>
      </c>
      <c r="L294" s="3" t="n">
        <v>99</v>
      </c>
      <c r="M294" s="3" t="n">
        <v>67</v>
      </c>
      <c r="N294" s="3" t="n">
        <v>166</v>
      </c>
      <c r="O294" s="3">
        <f>ROUND(N294/J294*100,2)</f>
        <v/>
      </c>
      <c r="P294" s="3">
        <f>10747.06</f>
        <v/>
      </c>
      <c r="Q294" s="3">
        <f>ROUND(P294/H294,2)</f>
        <v/>
      </c>
      <c r="R294" s="3">
        <f>IF(K294&gt;0,ROUND(H294/K294,2),999)</f>
        <v/>
      </c>
      <c r="S294" s="3" t="inlineStr">
        <is>
          <t>Meal Kit</t>
        </is>
      </c>
      <c r="T294" s="3" t="n">
        <v>421</v>
      </c>
      <c r="U294" s="3" t="n">
        <v>255</v>
      </c>
      <c r="V294" s="3" t="n">
        <v>2789</v>
      </c>
      <c r="W294" s="2" t="inlineStr">
        <is>
          <t>Organic search volume spike due to influencer mention.</t>
        </is>
      </c>
    </row>
    <row r="295">
      <c r="A295" s="4" t="inlineStr">
        <is>
          <t>2024-10-20</t>
        </is>
      </c>
      <c r="B295" s="4" t="inlineStr">
        <is>
          <t>Sunday</t>
        </is>
      </c>
      <c r="C295" s="4" t="n">
        <v>42</v>
      </c>
      <c r="D295" s="4" t="n">
        <v>10</v>
      </c>
      <c r="E295" s="4" t="n">
        <v>4</v>
      </c>
      <c r="F295" s="4" t="inlineStr">
        <is>
          <t>Fall</t>
        </is>
      </c>
      <c r="G295" s="4" t="inlineStr">
        <is>
          <t>Holiday Push</t>
        </is>
      </c>
      <c r="H295" s="5">
        <f>1356.41</f>
        <v/>
      </c>
      <c r="I295" s="5" t="n">
        <v>19091</v>
      </c>
      <c r="J295" s="5" t="n">
        <v>1374</v>
      </c>
      <c r="K295" s="5">
        <f>ROUND(C295/I295*100,2)</f>
        <v/>
      </c>
      <c r="L295" s="5" t="n">
        <v>103</v>
      </c>
      <c r="M295" s="5" t="n">
        <v>31</v>
      </c>
      <c r="N295" s="5" t="n">
        <v>134</v>
      </c>
      <c r="O295" s="5">
        <f>ROUND(N295/J295*100,2)</f>
        <v/>
      </c>
      <c r="P295" s="5">
        <f>6249.74</f>
        <v/>
      </c>
      <c r="Q295" s="5">
        <f>ROUND(P295/H295,2)</f>
        <v/>
      </c>
      <c r="R295" s="5">
        <f>IF(K295&gt;0,ROUND(H295/K295,2),999)</f>
        <v/>
      </c>
      <c r="S295" s="5" t="inlineStr">
        <is>
          <t>Meal Kit</t>
        </is>
      </c>
      <c r="T295" s="5" t="n">
        <v>518</v>
      </c>
      <c r="U295" s="5" t="n">
        <v>216</v>
      </c>
      <c r="V295" s="5" t="n">
        <v>4361</v>
      </c>
      <c r="W295" s="4" t="inlineStr">
        <is>
          <t>Seasonal surge in health-conscious persona segments.</t>
        </is>
      </c>
    </row>
    <row r="296">
      <c r="A296" s="2" t="inlineStr">
        <is>
          <t>2024-10-21</t>
        </is>
      </c>
      <c r="B296" s="2" t="inlineStr">
        <is>
          <t>Monday</t>
        </is>
      </c>
      <c r="C296" s="2" t="n">
        <v>43</v>
      </c>
      <c r="D296" s="2" t="n">
        <v>10</v>
      </c>
      <c r="E296" s="2" t="n">
        <v>4</v>
      </c>
      <c r="F296" s="2" t="inlineStr">
        <is>
          <t>Fall</t>
        </is>
      </c>
      <c r="G296" s="2" t="inlineStr">
        <is>
          <t>Holiday Push</t>
        </is>
      </c>
      <c r="H296" s="3">
        <f>1672.03</f>
        <v/>
      </c>
      <c r="I296" s="3" t="n">
        <v>13583</v>
      </c>
      <c r="J296" s="3" t="n">
        <v>893</v>
      </c>
      <c r="K296" s="3">
        <f>ROUND(C296/I296*100,2)</f>
        <v/>
      </c>
      <c r="L296" s="3" t="n">
        <v>86</v>
      </c>
      <c r="M296" s="3" t="n">
        <v>47</v>
      </c>
      <c r="N296" s="3" t="n">
        <v>133</v>
      </c>
      <c r="O296" s="3">
        <f>ROUND(N296/J296*100,2)</f>
        <v/>
      </c>
      <c r="P296" s="3">
        <f>8162.44</f>
        <v/>
      </c>
      <c r="Q296" s="3">
        <f>ROUND(P296/H296,2)</f>
        <v/>
      </c>
      <c r="R296" s="3">
        <f>IF(K296&gt;0,ROUND(H296/K296,2),999)</f>
        <v/>
      </c>
      <c r="S296" s="3" t="inlineStr">
        <is>
          <t>Pantry</t>
        </is>
      </c>
      <c r="T296" s="3" t="n">
        <v>606</v>
      </c>
      <c r="U296" s="3" t="n">
        <v>109</v>
      </c>
      <c r="V296" s="3" t="n">
        <v>2471</v>
      </c>
      <c r="W296" s="2" t="inlineStr">
        <is>
          <t>YouTube pre-roll tested with product demo creatives.</t>
        </is>
      </c>
    </row>
    <row r="297">
      <c r="A297" s="4" t="inlineStr">
        <is>
          <t>2024-10-22</t>
        </is>
      </c>
      <c r="B297" s="4" t="inlineStr">
        <is>
          <t>Tuesday</t>
        </is>
      </c>
      <c r="C297" s="4" t="n">
        <v>43</v>
      </c>
      <c r="D297" s="4" t="n">
        <v>10</v>
      </c>
      <c r="E297" s="4" t="n">
        <v>4</v>
      </c>
      <c r="F297" s="4" t="inlineStr">
        <is>
          <t>Fall</t>
        </is>
      </c>
      <c r="G297" s="4" t="inlineStr">
        <is>
          <t>Holiday Push</t>
        </is>
      </c>
      <c r="H297" s="5">
        <f>1987.65</f>
        <v/>
      </c>
      <c r="I297" s="5" t="n">
        <v>21853</v>
      </c>
      <c r="J297" s="5" t="n">
        <v>1181</v>
      </c>
      <c r="K297" s="5">
        <f>ROUND(C297/I297*100,2)</f>
        <v/>
      </c>
      <c r="L297" s="5" t="n">
        <v>115</v>
      </c>
      <c r="M297" s="5" t="n">
        <v>31</v>
      </c>
      <c r="N297" s="5" t="n">
        <v>146</v>
      </c>
      <c r="O297" s="5">
        <f>ROUND(N297/J297*100,2)</f>
        <v/>
      </c>
      <c r="P297" s="5">
        <f>9183.89</f>
        <v/>
      </c>
      <c r="Q297" s="5">
        <f>ROUND(P297/H297,2)</f>
        <v/>
      </c>
      <c r="R297" s="5">
        <f>IF(K297&gt;0,ROUND(H297/K297,2),999)</f>
        <v/>
      </c>
      <c r="S297" s="5" t="inlineStr">
        <is>
          <t>Snack Box</t>
        </is>
      </c>
      <c r="T297" s="5" t="n">
        <v>361</v>
      </c>
      <c r="U297" s="5" t="n">
        <v>148</v>
      </c>
      <c r="V297" s="5" t="n">
        <v>4424</v>
      </c>
      <c r="W297" s="4" t="inlineStr">
        <is>
          <t>Email list fatigue evident, segment optimization recommended.</t>
        </is>
      </c>
    </row>
    <row r="298">
      <c r="A298" s="2" t="inlineStr">
        <is>
          <t>2024-10-23</t>
        </is>
      </c>
      <c r="B298" s="2" t="inlineStr">
        <is>
          <t>Wednesday</t>
        </is>
      </c>
      <c r="C298" s="2" t="n">
        <v>43</v>
      </c>
      <c r="D298" s="2" t="n">
        <v>10</v>
      </c>
      <c r="E298" s="2" t="n">
        <v>4</v>
      </c>
      <c r="F298" s="2" t="inlineStr">
        <is>
          <t>Fall</t>
        </is>
      </c>
      <c r="G298" s="2" t="inlineStr">
        <is>
          <t>Holiday Push</t>
        </is>
      </c>
      <c r="H298" s="3">
        <f>2038.46</f>
        <v/>
      </c>
      <c r="I298" s="3" t="n">
        <v>19877</v>
      </c>
      <c r="J298" s="3" t="n">
        <v>1519</v>
      </c>
      <c r="K298" s="3">
        <f>ROUND(C298/I298*100,2)</f>
        <v/>
      </c>
      <c r="L298" s="3" t="n">
        <v>151</v>
      </c>
      <c r="M298" s="3" t="n">
        <v>76</v>
      </c>
      <c r="N298" s="3" t="n">
        <v>227</v>
      </c>
      <c r="O298" s="3">
        <f>ROUND(N298/J298*100,2)</f>
        <v/>
      </c>
      <c r="P298" s="3">
        <f>12447.16</f>
        <v/>
      </c>
      <c r="Q298" s="3">
        <f>ROUND(P298/H298,2)</f>
        <v/>
      </c>
      <c r="R298" s="3">
        <f>IF(K298&gt;0,ROUND(H298/K298,2),999)</f>
        <v/>
      </c>
      <c r="S298" s="3" t="inlineStr">
        <is>
          <t>Snack Box</t>
        </is>
      </c>
      <c r="T298" s="3" t="n">
        <v>790</v>
      </c>
      <c r="U298" s="3" t="n">
        <v>257</v>
      </c>
      <c r="V298" s="3" t="n">
        <v>6404</v>
      </c>
      <c r="W298" s="2" t="inlineStr">
        <is>
          <t>Mobile conversion rate optimization showing 12% improvement.</t>
        </is>
      </c>
    </row>
    <row r="299">
      <c r="A299" s="4" t="inlineStr">
        <is>
          <t>2024-10-24</t>
        </is>
      </c>
      <c r="B299" s="4" t="inlineStr">
        <is>
          <t>Thursday</t>
        </is>
      </c>
      <c r="C299" s="4" t="n">
        <v>43</v>
      </c>
      <c r="D299" s="4" t="n">
        <v>10</v>
      </c>
      <c r="E299" s="4" t="n">
        <v>4</v>
      </c>
      <c r="F299" s="4" t="inlineStr">
        <is>
          <t>Fall</t>
        </is>
      </c>
      <c r="G299" s="4" t="inlineStr">
        <is>
          <t>Holiday Push</t>
        </is>
      </c>
      <c r="H299" s="5">
        <f>1720.10</f>
        <v/>
      </c>
      <c r="I299" s="5" t="n">
        <v>17680</v>
      </c>
      <c r="J299" s="5" t="n">
        <v>922</v>
      </c>
      <c r="K299" s="5">
        <f>ROUND(C299/I299*100,2)</f>
        <v/>
      </c>
      <c r="L299" s="5" t="n">
        <v>91</v>
      </c>
      <c r="M299" s="5" t="n">
        <v>51</v>
      </c>
      <c r="N299" s="5" t="n">
        <v>142</v>
      </c>
      <c r="O299" s="5">
        <f>ROUND(N299/J299*100,2)</f>
        <v/>
      </c>
      <c r="P299" s="5">
        <f>8682.13</f>
        <v/>
      </c>
      <c r="Q299" s="5">
        <f>ROUND(P299/H299,2)</f>
        <v/>
      </c>
      <c r="R299" s="5">
        <f>IF(K299&gt;0,ROUND(H299/K299,2),999)</f>
        <v/>
      </c>
      <c r="S299" s="5" t="inlineStr">
        <is>
          <t>Meal Kit</t>
        </is>
      </c>
      <c r="T299" s="5" t="n">
        <v>596</v>
      </c>
      <c r="U299" s="5" t="n">
        <v>169</v>
      </c>
      <c r="V299" s="5" t="n">
        <v>7024</v>
      </c>
      <c r="W299" s="4" t="inlineStr">
        <is>
          <t>Mobile conversion rate optimization showing 12% improvement.</t>
        </is>
      </c>
    </row>
    <row r="300">
      <c r="A300" s="2" t="inlineStr">
        <is>
          <t>2024-10-25</t>
        </is>
      </c>
      <c r="B300" s="2" t="inlineStr">
        <is>
          <t>Friday</t>
        </is>
      </c>
      <c r="C300" s="2" t="n">
        <v>43</v>
      </c>
      <c r="D300" s="2" t="n">
        <v>10</v>
      </c>
      <c r="E300" s="2" t="n">
        <v>4</v>
      </c>
      <c r="F300" s="2" t="inlineStr">
        <is>
          <t>Fall</t>
        </is>
      </c>
      <c r="G300" s="2" t="inlineStr">
        <is>
          <t>Holiday Push</t>
        </is>
      </c>
      <c r="H300" s="3">
        <f>1708.76</f>
        <v/>
      </c>
      <c r="I300" s="3" t="n">
        <v>14391</v>
      </c>
      <c r="J300" s="3" t="n">
        <v>1130</v>
      </c>
      <c r="K300" s="3">
        <f>ROUND(C300/I300*100,2)</f>
        <v/>
      </c>
      <c r="L300" s="3" t="n">
        <v>91</v>
      </c>
      <c r="M300" s="3" t="n">
        <v>25</v>
      </c>
      <c r="N300" s="3" t="n">
        <v>116</v>
      </c>
      <c r="O300" s="3">
        <f>ROUND(N300/J300*100,2)</f>
        <v/>
      </c>
      <c r="P300" s="3">
        <f>6253.37</f>
        <v/>
      </c>
      <c r="Q300" s="3">
        <f>ROUND(P300/H300,2)</f>
        <v/>
      </c>
      <c r="R300" s="3">
        <f>IF(K300&gt;0,ROUND(H300/K300,2),999)</f>
        <v/>
      </c>
      <c r="S300" s="3" t="inlineStr">
        <is>
          <t>Snack Box</t>
        </is>
      </c>
      <c r="T300" s="3" t="n">
        <v>462</v>
      </c>
      <c r="U300" s="3" t="n">
        <v>92</v>
      </c>
      <c r="V300" s="3" t="n">
        <v>4904</v>
      </c>
      <c r="W300" s="2" t="inlineStr">
        <is>
          <t>Test of lifestyle content format underperforming, discontinued.</t>
        </is>
      </c>
    </row>
    <row r="301">
      <c r="A301" s="4" t="inlineStr">
        <is>
          <t>2024-10-26</t>
        </is>
      </c>
      <c r="B301" s="4" t="inlineStr">
        <is>
          <t>Saturday</t>
        </is>
      </c>
      <c r="C301" s="4" t="n">
        <v>43</v>
      </c>
      <c r="D301" s="4" t="n">
        <v>10</v>
      </c>
      <c r="E301" s="4" t="n">
        <v>4</v>
      </c>
      <c r="F301" s="4" t="inlineStr">
        <is>
          <t>Fall</t>
        </is>
      </c>
      <c r="G301" s="4" t="inlineStr">
        <is>
          <t>Holiday Push</t>
        </is>
      </c>
      <c r="H301" s="5">
        <f>1167.18</f>
        <v/>
      </c>
      <c r="I301" s="5" t="n">
        <v>14020</v>
      </c>
      <c r="J301" s="5" t="n">
        <v>783</v>
      </c>
      <c r="K301" s="5">
        <f>ROUND(C301/I301*100,2)</f>
        <v/>
      </c>
      <c r="L301" s="5" t="n">
        <v>90</v>
      </c>
      <c r="M301" s="5" t="n">
        <v>40</v>
      </c>
      <c r="N301" s="5" t="n">
        <v>130</v>
      </c>
      <c r="O301" s="5">
        <f>ROUND(N301/J301*100,2)</f>
        <v/>
      </c>
      <c r="P301" s="5">
        <f>7965.68</f>
        <v/>
      </c>
      <c r="Q301" s="5">
        <f>ROUND(P301/H301,2)</f>
        <v/>
      </c>
      <c r="R301" s="5">
        <f>IF(K301&gt;0,ROUND(H301/K301,2),999)</f>
        <v/>
      </c>
      <c r="S301" s="5" t="inlineStr">
        <is>
          <t>Pantry</t>
        </is>
      </c>
      <c r="T301" s="5" t="n">
        <v>536</v>
      </c>
      <c r="U301" s="5" t="n">
        <v>179</v>
      </c>
      <c r="V301" s="5" t="n">
        <v>5556</v>
      </c>
      <c r="W301" s="4" t="inlineStr">
        <is>
          <t>Competitor promotion detected, reduced CPA achieved through optimization.</t>
        </is>
      </c>
    </row>
    <row r="302">
      <c r="A302" s="2" t="inlineStr">
        <is>
          <t>2024-10-27</t>
        </is>
      </c>
      <c r="B302" s="2" t="inlineStr">
        <is>
          <t>Sunday</t>
        </is>
      </c>
      <c r="C302" s="2" t="n">
        <v>43</v>
      </c>
      <c r="D302" s="2" t="n">
        <v>10</v>
      </c>
      <c r="E302" s="2" t="n">
        <v>4</v>
      </c>
      <c r="F302" s="2" t="inlineStr">
        <is>
          <t>Fall</t>
        </is>
      </c>
      <c r="G302" s="2" t="inlineStr">
        <is>
          <t>Holiday Push</t>
        </is>
      </c>
      <c r="H302" s="3">
        <f>1418.73</f>
        <v/>
      </c>
      <c r="I302" s="3" t="n">
        <v>12235</v>
      </c>
      <c r="J302" s="3" t="n">
        <v>406</v>
      </c>
      <c r="K302" s="3">
        <f>ROUND(C302/I302*100,2)</f>
        <v/>
      </c>
      <c r="L302" s="3" t="n">
        <v>22</v>
      </c>
      <c r="M302" s="3" t="n">
        <v>9</v>
      </c>
      <c r="N302" s="3" t="n">
        <v>31</v>
      </c>
      <c r="O302" s="3">
        <f>ROUND(N302/J302*100,2)</f>
        <v/>
      </c>
      <c r="P302" s="3">
        <f>1969.74</f>
        <v/>
      </c>
      <c r="Q302" s="3">
        <f>ROUND(P302/H302,2)</f>
        <v/>
      </c>
      <c r="R302" s="3">
        <f>IF(K302&gt;0,ROUND(H302/K302,2),999)</f>
        <v/>
      </c>
      <c r="S302" s="3" t="inlineStr">
        <is>
          <t>Snack Box</t>
        </is>
      </c>
      <c r="T302" s="3" t="n">
        <v>200</v>
      </c>
      <c r="U302" s="3" t="n">
        <v>20</v>
      </c>
      <c r="V302" s="3" t="n">
        <v>3134</v>
      </c>
      <c r="W302" s="2" t="inlineStr">
        <is>
          <t>Test of lifestyle content format underperforming, discontinued.</t>
        </is>
      </c>
    </row>
    <row r="303">
      <c r="A303" s="4" t="inlineStr">
        <is>
          <t>2024-10-28</t>
        </is>
      </c>
      <c r="B303" s="4" t="inlineStr">
        <is>
          <t>Monday</t>
        </is>
      </c>
      <c r="C303" s="4" t="n">
        <v>44</v>
      </c>
      <c r="D303" s="4" t="n">
        <v>10</v>
      </c>
      <c r="E303" s="4" t="n">
        <v>4</v>
      </c>
      <c r="F303" s="4" t="inlineStr">
        <is>
          <t>Fall</t>
        </is>
      </c>
      <c r="G303" s="4" t="inlineStr">
        <is>
          <t>Holiday Push</t>
        </is>
      </c>
      <c r="H303" s="5">
        <f>1692.27</f>
        <v/>
      </c>
      <c r="I303" s="5" t="n">
        <v>24468</v>
      </c>
      <c r="J303" s="5" t="n">
        <v>1865</v>
      </c>
      <c r="K303" s="5">
        <f>ROUND(C303/I303*100,2)</f>
        <v/>
      </c>
      <c r="L303" s="5" t="n">
        <v>201</v>
      </c>
      <c r="M303" s="5" t="n">
        <v>82</v>
      </c>
      <c r="N303" s="5" t="n">
        <v>283</v>
      </c>
      <c r="O303" s="5">
        <f>ROUND(N303/J303*100,2)</f>
        <v/>
      </c>
      <c r="P303" s="5">
        <f>16387.36</f>
        <v/>
      </c>
      <c r="Q303" s="5">
        <f>ROUND(P303/H303,2)</f>
        <v/>
      </c>
      <c r="R303" s="5">
        <f>IF(K303&gt;0,ROUND(H303/K303,2),999)</f>
        <v/>
      </c>
      <c r="S303" s="5" t="inlineStr">
        <is>
          <t>Pantry</t>
        </is>
      </c>
      <c r="T303" s="5" t="n">
        <v>769</v>
      </c>
      <c r="U303" s="5" t="n">
        <v>353</v>
      </c>
      <c r="V303" s="5" t="n">
        <v>6005</v>
      </c>
      <c r="W303" s="4" t="inlineStr">
        <is>
          <t>Meta lookalike audience expansion successful.</t>
        </is>
      </c>
    </row>
    <row r="304">
      <c r="A304" s="2" t="inlineStr">
        <is>
          <t>2024-10-29</t>
        </is>
      </c>
      <c r="B304" s="2" t="inlineStr">
        <is>
          <t>Tuesday</t>
        </is>
      </c>
      <c r="C304" s="2" t="n">
        <v>44</v>
      </c>
      <c r="D304" s="2" t="n">
        <v>10</v>
      </c>
      <c r="E304" s="2" t="n">
        <v>4</v>
      </c>
      <c r="F304" s="2" t="inlineStr">
        <is>
          <t>Fall</t>
        </is>
      </c>
      <c r="G304" s="2" t="inlineStr">
        <is>
          <t>Holiday Push</t>
        </is>
      </c>
      <c r="H304" s="3">
        <f>1966.07</f>
        <v/>
      </c>
      <c r="I304" s="3" t="n">
        <v>26431</v>
      </c>
      <c r="J304" s="3" t="n">
        <v>1239</v>
      </c>
      <c r="K304" s="3">
        <f>ROUND(C304/I304*100,2)</f>
        <v/>
      </c>
      <c r="L304" s="3" t="n">
        <v>129</v>
      </c>
      <c r="M304" s="3" t="n">
        <v>70</v>
      </c>
      <c r="N304" s="3" t="n">
        <v>199</v>
      </c>
      <c r="O304" s="3">
        <f>ROUND(N304/J304*100,2)</f>
        <v/>
      </c>
      <c r="P304" s="3">
        <f>12890.77</f>
        <v/>
      </c>
      <c r="Q304" s="3">
        <f>ROUND(P304/H304,2)</f>
        <v/>
      </c>
      <c r="R304" s="3">
        <f>IF(K304&gt;0,ROUND(H304/K304,2),999)</f>
        <v/>
      </c>
      <c r="S304" s="3" t="inlineStr">
        <is>
          <t>Meal Kit</t>
        </is>
      </c>
      <c r="T304" s="3" t="n">
        <v>665</v>
      </c>
      <c r="U304" s="3" t="n">
        <v>222</v>
      </c>
      <c r="V304" s="3" t="n">
        <v>6895</v>
      </c>
      <c r="W304" s="2" t="inlineStr">
        <is>
          <t>Email list fatigue evident, segment optimization recommended.</t>
        </is>
      </c>
    </row>
    <row r="305">
      <c r="A305" s="4" t="inlineStr">
        <is>
          <t>2024-10-30</t>
        </is>
      </c>
      <c r="B305" s="4" t="inlineStr">
        <is>
          <t>Wednesday</t>
        </is>
      </c>
      <c r="C305" s="4" t="n">
        <v>44</v>
      </c>
      <c r="D305" s="4" t="n">
        <v>10</v>
      </c>
      <c r="E305" s="4" t="n">
        <v>4</v>
      </c>
      <c r="F305" s="4" t="inlineStr">
        <is>
          <t>Fall</t>
        </is>
      </c>
      <c r="G305" s="4" t="inlineStr">
        <is>
          <t>Holiday Push</t>
        </is>
      </c>
      <c r="H305" s="5">
        <f>2146.67</f>
        <v/>
      </c>
      <c r="I305" s="5" t="n">
        <v>21951</v>
      </c>
      <c r="J305" s="5" t="n">
        <v>1251</v>
      </c>
      <c r="K305" s="5">
        <f>ROUND(C305/I305*100,2)</f>
        <v/>
      </c>
      <c r="L305" s="5" t="n">
        <v>114</v>
      </c>
      <c r="M305" s="5" t="n">
        <v>62</v>
      </c>
      <c r="N305" s="5" t="n">
        <v>176</v>
      </c>
      <c r="O305" s="5">
        <f>ROUND(N305/J305*100,2)</f>
        <v/>
      </c>
      <c r="P305" s="5">
        <f>10627.20</f>
        <v/>
      </c>
      <c r="Q305" s="5">
        <f>ROUND(P305/H305,2)</f>
        <v/>
      </c>
      <c r="R305" s="5">
        <f>IF(K305&gt;0,ROUND(H305/K305,2),999)</f>
        <v/>
      </c>
      <c r="S305" s="5" t="inlineStr">
        <is>
          <t>Snack Box</t>
        </is>
      </c>
      <c r="T305" s="5" t="n">
        <v>785</v>
      </c>
      <c r="U305" s="5" t="n">
        <v>183</v>
      </c>
      <c r="V305" s="5" t="n">
        <v>6702</v>
      </c>
      <c r="W305" s="4" t="inlineStr">
        <is>
          <t>Organic search volume spike due to influencer mention.</t>
        </is>
      </c>
    </row>
    <row r="306">
      <c r="A306" s="2" t="inlineStr">
        <is>
          <t>2024-10-31</t>
        </is>
      </c>
      <c r="B306" s="2" t="inlineStr">
        <is>
          <t>Thursday</t>
        </is>
      </c>
      <c r="C306" s="2" t="n">
        <v>44</v>
      </c>
      <c r="D306" s="2" t="n">
        <v>10</v>
      </c>
      <c r="E306" s="2" t="n">
        <v>4</v>
      </c>
      <c r="F306" s="2" t="inlineStr">
        <is>
          <t>Fall</t>
        </is>
      </c>
      <c r="G306" s="2" t="inlineStr">
        <is>
          <t>Holiday Push</t>
        </is>
      </c>
      <c r="H306" s="3">
        <f>1743.28</f>
        <v/>
      </c>
      <c r="I306" s="3" t="n">
        <v>19439</v>
      </c>
      <c r="J306" s="3" t="n">
        <v>1345</v>
      </c>
      <c r="K306" s="3">
        <f>ROUND(C306/I306*100,2)</f>
        <v/>
      </c>
      <c r="L306" s="3" t="n">
        <v>140</v>
      </c>
      <c r="M306" s="3" t="n">
        <v>49</v>
      </c>
      <c r="N306" s="3" t="n">
        <v>189</v>
      </c>
      <c r="O306" s="3">
        <f>ROUND(N306/J306*100,2)</f>
        <v/>
      </c>
      <c r="P306" s="3">
        <f>11464.06</f>
        <v/>
      </c>
      <c r="Q306" s="3">
        <f>ROUND(P306/H306,2)</f>
        <v/>
      </c>
      <c r="R306" s="3">
        <f>IF(K306&gt;0,ROUND(H306/K306,2),999)</f>
        <v/>
      </c>
      <c r="S306" s="3" t="inlineStr">
        <is>
          <t>Snack Box</t>
        </is>
      </c>
      <c r="T306" s="3" t="n">
        <v>759</v>
      </c>
      <c r="U306" s="3" t="n">
        <v>140</v>
      </c>
      <c r="V306" s="3" t="n">
        <v>2943</v>
      </c>
      <c r="W306" s="2" t="inlineStr">
        <is>
          <t>High-intent keyword performance exceeding benchmarks.</t>
        </is>
      </c>
    </row>
    <row r="307">
      <c r="A307" s="4" t="inlineStr">
        <is>
          <t>2024-11-01</t>
        </is>
      </c>
      <c r="B307" s="4" t="inlineStr">
        <is>
          <t>Friday</t>
        </is>
      </c>
      <c r="C307" s="4" t="n">
        <v>44</v>
      </c>
      <c r="D307" s="4" t="n">
        <v>11</v>
      </c>
      <c r="E307" s="4" t="n">
        <v>4</v>
      </c>
      <c r="F307" s="4" t="inlineStr">
        <is>
          <t>Fall</t>
        </is>
      </c>
      <c r="G307" s="4" t="inlineStr">
        <is>
          <t>Holiday Push</t>
        </is>
      </c>
      <c r="H307" s="5">
        <f>2044.86</f>
        <v/>
      </c>
      <c r="I307" s="5" t="n">
        <v>18236</v>
      </c>
      <c r="J307" s="5" t="n">
        <v>716</v>
      </c>
      <c r="K307" s="5">
        <f>ROUND(C307/I307*100,2)</f>
        <v/>
      </c>
      <c r="L307" s="5" t="n">
        <v>66</v>
      </c>
      <c r="M307" s="5" t="n">
        <v>39</v>
      </c>
      <c r="N307" s="5" t="n">
        <v>105</v>
      </c>
      <c r="O307" s="5">
        <f>ROUND(N307/J307*100,2)</f>
        <v/>
      </c>
      <c r="P307" s="5">
        <f>5864.61</f>
        <v/>
      </c>
      <c r="Q307" s="5">
        <f>ROUND(P307/H307,2)</f>
        <v/>
      </c>
      <c r="R307" s="5">
        <f>IF(K307&gt;0,ROUND(H307/K307,2),999)</f>
        <v/>
      </c>
      <c r="S307" s="5" t="inlineStr">
        <is>
          <t>Pantry</t>
        </is>
      </c>
      <c r="T307" s="5" t="n">
        <v>309</v>
      </c>
      <c r="U307" s="5" t="n">
        <v>70</v>
      </c>
      <c r="V307" s="5" t="n">
        <v>3249</v>
      </c>
      <c r="W307" s="4" t="inlineStr">
        <is>
          <t>Email list fatigue evident, segment optimization recommended.</t>
        </is>
      </c>
    </row>
    <row r="308">
      <c r="A308" s="2" t="inlineStr">
        <is>
          <t>2024-11-02</t>
        </is>
      </c>
      <c r="B308" s="2" t="inlineStr">
        <is>
          <t>Saturday</t>
        </is>
      </c>
      <c r="C308" s="2" t="n">
        <v>44</v>
      </c>
      <c r="D308" s="2" t="n">
        <v>11</v>
      </c>
      <c r="E308" s="2" t="n">
        <v>4</v>
      </c>
      <c r="F308" s="2" t="inlineStr">
        <is>
          <t>Fall</t>
        </is>
      </c>
      <c r="G308" s="2" t="inlineStr">
        <is>
          <t>Holiday Push</t>
        </is>
      </c>
      <c r="H308" s="3">
        <f>1343.57</f>
        <v/>
      </c>
      <c r="I308" s="3" t="n">
        <v>12145</v>
      </c>
      <c r="J308" s="3" t="n">
        <v>802</v>
      </c>
      <c r="K308" s="3">
        <f>ROUND(C308/I308*100,2)</f>
        <v/>
      </c>
      <c r="L308" s="3" t="n">
        <v>42</v>
      </c>
      <c r="M308" s="3" t="n">
        <v>47</v>
      </c>
      <c r="N308" s="3" t="n">
        <v>89</v>
      </c>
      <c r="O308" s="3">
        <f>ROUND(N308/J308*100,2)</f>
        <v/>
      </c>
      <c r="P308" s="3">
        <f>5414.05</f>
        <v/>
      </c>
      <c r="Q308" s="3">
        <f>ROUND(P308/H308,2)</f>
        <v/>
      </c>
      <c r="R308" s="3">
        <f>IF(K308&gt;0,ROUND(H308/K308,2),999)</f>
        <v/>
      </c>
      <c r="S308" s="3" t="inlineStr">
        <is>
          <t>Meal Kit</t>
        </is>
      </c>
      <c r="T308" s="3" t="n">
        <v>517</v>
      </c>
      <c r="U308" s="3" t="n">
        <v>125</v>
      </c>
      <c r="V308" s="3" t="n">
        <v>4477</v>
      </c>
      <c r="W308" s="2" t="inlineStr">
        <is>
          <t>Display network efficiency improved after audience refinement.</t>
        </is>
      </c>
    </row>
    <row r="309">
      <c r="A309" s="4" t="inlineStr">
        <is>
          <t>2024-11-03</t>
        </is>
      </c>
      <c r="B309" s="4" t="inlineStr">
        <is>
          <t>Sunday</t>
        </is>
      </c>
      <c r="C309" s="4" t="n">
        <v>44</v>
      </c>
      <c r="D309" s="4" t="n">
        <v>11</v>
      </c>
      <c r="E309" s="4" t="n">
        <v>4</v>
      </c>
      <c r="F309" s="4" t="inlineStr">
        <is>
          <t>Fall</t>
        </is>
      </c>
      <c r="G309" s="4" t="inlineStr">
        <is>
          <t>Holiday Push</t>
        </is>
      </c>
      <c r="H309" s="5">
        <f>1435.62</f>
        <v/>
      </c>
      <c r="I309" s="5" t="n">
        <v>19644</v>
      </c>
      <c r="J309" s="5" t="n">
        <v>1498</v>
      </c>
      <c r="K309" s="5">
        <f>ROUND(C309/I309*100,2)</f>
        <v/>
      </c>
      <c r="L309" s="5" t="n">
        <v>90</v>
      </c>
      <c r="M309" s="5" t="n">
        <v>31</v>
      </c>
      <c r="N309" s="5" t="n">
        <v>121</v>
      </c>
      <c r="O309" s="5">
        <f>ROUND(N309/J309*100,2)</f>
        <v/>
      </c>
      <c r="P309" s="5">
        <f>7075.12</f>
        <v/>
      </c>
      <c r="Q309" s="5">
        <f>ROUND(P309/H309,2)</f>
        <v/>
      </c>
      <c r="R309" s="5">
        <f>IF(K309&gt;0,ROUND(H309/K309,2),999)</f>
        <v/>
      </c>
      <c r="S309" s="5" t="inlineStr">
        <is>
          <t>Meal Kit</t>
        </is>
      </c>
      <c r="T309" s="5" t="n">
        <v>1040</v>
      </c>
      <c r="U309" s="5" t="n">
        <v>156</v>
      </c>
      <c r="V309" s="5" t="n">
        <v>4422</v>
      </c>
      <c r="W309" s="4" t="inlineStr">
        <is>
          <t>Mobile conversion rate optimization showing 12% improvement.</t>
        </is>
      </c>
    </row>
    <row r="310">
      <c r="A310" s="2" t="inlineStr">
        <is>
          <t>2024-11-04</t>
        </is>
      </c>
      <c r="B310" s="2" t="inlineStr">
        <is>
          <t>Monday</t>
        </is>
      </c>
      <c r="C310" s="2" t="n">
        <v>45</v>
      </c>
      <c r="D310" s="2" t="n">
        <v>11</v>
      </c>
      <c r="E310" s="2" t="n">
        <v>4</v>
      </c>
      <c r="F310" s="2" t="inlineStr">
        <is>
          <t>Fall</t>
        </is>
      </c>
      <c r="G310" s="2" t="inlineStr">
        <is>
          <t>Holiday Push</t>
        </is>
      </c>
      <c r="H310" s="3">
        <f>1684.67</f>
        <v/>
      </c>
      <c r="I310" s="3" t="n">
        <v>23831</v>
      </c>
      <c r="J310" s="3" t="n">
        <v>863</v>
      </c>
      <c r="K310" s="3">
        <f>ROUND(C310/I310*100,2)</f>
        <v/>
      </c>
      <c r="L310" s="3" t="n">
        <v>66</v>
      </c>
      <c r="M310" s="3" t="n">
        <v>46</v>
      </c>
      <c r="N310" s="3" t="n">
        <v>112</v>
      </c>
      <c r="O310" s="3">
        <f>ROUND(N310/J310*100,2)</f>
        <v/>
      </c>
      <c r="P310" s="3">
        <f>6851.63</f>
        <v/>
      </c>
      <c r="Q310" s="3">
        <f>ROUND(P310/H310,2)</f>
        <v/>
      </c>
      <c r="R310" s="3">
        <f>IF(K310&gt;0,ROUND(H310/K310,2),999)</f>
        <v/>
      </c>
      <c r="S310" s="3" t="inlineStr">
        <is>
          <t>Meal Kit</t>
        </is>
      </c>
      <c r="T310" s="3" t="n">
        <v>270</v>
      </c>
      <c r="U310" s="3" t="n">
        <v>93</v>
      </c>
      <c r="V310" s="3" t="n">
        <v>9205</v>
      </c>
      <c r="W310" s="2" t="inlineStr">
        <is>
          <t>Email list fatigue evident, segment optimization recommended.</t>
        </is>
      </c>
    </row>
    <row r="311">
      <c r="A311" s="4" t="inlineStr">
        <is>
          <t>2024-11-05</t>
        </is>
      </c>
      <c r="B311" s="4" t="inlineStr">
        <is>
          <t>Tuesday</t>
        </is>
      </c>
      <c r="C311" s="4" t="n">
        <v>45</v>
      </c>
      <c r="D311" s="4" t="n">
        <v>11</v>
      </c>
      <c r="E311" s="4" t="n">
        <v>4</v>
      </c>
      <c r="F311" s="4" t="inlineStr">
        <is>
          <t>Fall</t>
        </is>
      </c>
      <c r="G311" s="4" t="inlineStr">
        <is>
          <t>Holiday Push</t>
        </is>
      </c>
      <c r="H311" s="5">
        <f>2054.23</f>
        <v/>
      </c>
      <c r="I311" s="5" t="n">
        <v>29070</v>
      </c>
      <c r="J311" s="5" t="n">
        <v>1176</v>
      </c>
      <c r="K311" s="5">
        <f>ROUND(C311/I311*100,2)</f>
        <v/>
      </c>
      <c r="L311" s="5" t="n">
        <v>84</v>
      </c>
      <c r="M311" s="5" t="n">
        <v>61</v>
      </c>
      <c r="N311" s="5" t="n">
        <v>145</v>
      </c>
      <c r="O311" s="5">
        <f>ROUND(N311/J311*100,2)</f>
        <v/>
      </c>
      <c r="P311" s="5">
        <f>8635.83</f>
        <v/>
      </c>
      <c r="Q311" s="5">
        <f>ROUND(P311/H311,2)</f>
        <v/>
      </c>
      <c r="R311" s="5">
        <f>IF(K311&gt;0,ROUND(H311/K311,2),999)</f>
        <v/>
      </c>
      <c r="S311" s="5" t="inlineStr">
        <is>
          <t>Pantry</t>
        </is>
      </c>
      <c r="T311" s="5" t="n">
        <v>493</v>
      </c>
      <c r="U311" s="5" t="n">
        <v>216</v>
      </c>
      <c r="V311" s="5" t="n">
        <v>8835</v>
      </c>
      <c r="W311" s="4" t="inlineStr">
        <is>
          <t>Display network efficiency improved after audience refinement.</t>
        </is>
      </c>
    </row>
    <row r="312">
      <c r="A312" s="2" t="inlineStr">
        <is>
          <t>2024-11-06</t>
        </is>
      </c>
      <c r="B312" s="2" t="inlineStr">
        <is>
          <t>Wednesday</t>
        </is>
      </c>
      <c r="C312" s="2" t="n">
        <v>45</v>
      </c>
      <c r="D312" s="2" t="n">
        <v>11</v>
      </c>
      <c r="E312" s="2" t="n">
        <v>4</v>
      </c>
      <c r="F312" s="2" t="inlineStr">
        <is>
          <t>Fall</t>
        </is>
      </c>
      <c r="G312" s="2" t="inlineStr">
        <is>
          <t>Holiday Push</t>
        </is>
      </c>
      <c r="H312" s="3">
        <f>1963.83</f>
        <v/>
      </c>
      <c r="I312" s="3" t="n">
        <v>16779</v>
      </c>
      <c r="J312" s="3" t="n">
        <v>361</v>
      </c>
      <c r="K312" s="3">
        <f>ROUND(C312/I312*100,2)</f>
        <v/>
      </c>
      <c r="L312" s="3" t="n">
        <v>27</v>
      </c>
      <c r="M312" s="3" t="n">
        <v>19</v>
      </c>
      <c r="N312" s="3" t="n">
        <v>46</v>
      </c>
      <c r="O312" s="3">
        <f>ROUND(N312/J312*100,2)</f>
        <v/>
      </c>
      <c r="P312" s="3">
        <f>2441.63</f>
        <v/>
      </c>
      <c r="Q312" s="3">
        <f>ROUND(P312/H312,2)</f>
        <v/>
      </c>
      <c r="R312" s="3">
        <f>IF(K312&gt;0,ROUND(H312/K312,2),999)</f>
        <v/>
      </c>
      <c r="S312" s="3" t="inlineStr">
        <is>
          <t>Pantry</t>
        </is>
      </c>
      <c r="T312" s="3" t="n">
        <v>127</v>
      </c>
      <c r="U312" s="3" t="n">
        <v>74</v>
      </c>
      <c r="V312" s="3" t="n">
        <v>6627</v>
      </c>
      <c r="W312" s="2" t="inlineStr">
        <is>
          <t>Mobile conversion rate optimization showing 12% improvement.</t>
        </is>
      </c>
    </row>
    <row r="313">
      <c r="A313" s="4" t="inlineStr">
        <is>
          <t>2024-11-07</t>
        </is>
      </c>
      <c r="B313" s="4" t="inlineStr">
        <is>
          <t>Thursday</t>
        </is>
      </c>
      <c r="C313" s="4" t="n">
        <v>45</v>
      </c>
      <c r="D313" s="4" t="n">
        <v>11</v>
      </c>
      <c r="E313" s="4" t="n">
        <v>4</v>
      </c>
      <c r="F313" s="4" t="inlineStr">
        <is>
          <t>Fall</t>
        </is>
      </c>
      <c r="G313" s="4" t="inlineStr">
        <is>
          <t>Holiday Push</t>
        </is>
      </c>
      <c r="H313" s="5">
        <f>1917.08</f>
        <v/>
      </c>
      <c r="I313" s="5" t="n">
        <v>23210</v>
      </c>
      <c r="J313" s="5" t="n">
        <v>790</v>
      </c>
      <c r="K313" s="5">
        <f>ROUND(C313/I313*100,2)</f>
        <v/>
      </c>
      <c r="L313" s="5" t="n">
        <v>73</v>
      </c>
      <c r="M313" s="5" t="n">
        <v>22</v>
      </c>
      <c r="N313" s="5" t="n">
        <v>95</v>
      </c>
      <c r="O313" s="5">
        <f>ROUND(N313/J313*100,2)</f>
        <v/>
      </c>
      <c r="P313" s="5">
        <f>4926.12</f>
        <v/>
      </c>
      <c r="Q313" s="5">
        <f>ROUND(P313/H313,2)</f>
        <v/>
      </c>
      <c r="R313" s="5">
        <f>IF(K313&gt;0,ROUND(H313/K313,2),999)</f>
        <v/>
      </c>
      <c r="S313" s="5" t="inlineStr">
        <is>
          <t>Pantry</t>
        </is>
      </c>
      <c r="T313" s="5" t="n">
        <v>532</v>
      </c>
      <c r="U313" s="5" t="n">
        <v>105</v>
      </c>
      <c r="V313" s="5" t="n">
        <v>7505</v>
      </c>
      <c r="W313" s="4" t="inlineStr">
        <is>
          <t>Subscription retention improving month-over-month.</t>
        </is>
      </c>
    </row>
    <row r="314">
      <c r="A314" s="2" t="inlineStr">
        <is>
          <t>2024-11-08</t>
        </is>
      </c>
      <c r="B314" s="2" t="inlineStr">
        <is>
          <t>Friday</t>
        </is>
      </c>
      <c r="C314" s="2" t="n">
        <v>45</v>
      </c>
      <c r="D314" s="2" t="n">
        <v>11</v>
      </c>
      <c r="E314" s="2" t="n">
        <v>4</v>
      </c>
      <c r="F314" s="2" t="inlineStr">
        <is>
          <t>Fall</t>
        </is>
      </c>
      <c r="G314" s="2" t="inlineStr">
        <is>
          <t>Holiday Push</t>
        </is>
      </c>
      <c r="H314" s="3">
        <f>1750.36</f>
        <v/>
      </c>
      <c r="I314" s="3" t="n">
        <v>14607</v>
      </c>
      <c r="J314" s="3" t="n">
        <v>619</v>
      </c>
      <c r="K314" s="3">
        <f>ROUND(C314/I314*100,2)</f>
        <v/>
      </c>
      <c r="L314" s="3" t="n">
        <v>51</v>
      </c>
      <c r="M314" s="3" t="n">
        <v>28</v>
      </c>
      <c r="N314" s="3" t="n">
        <v>79</v>
      </c>
      <c r="O314" s="3">
        <f>ROUND(N314/J314*100,2)</f>
        <v/>
      </c>
      <c r="P314" s="3">
        <f>3871.78</f>
        <v/>
      </c>
      <c r="Q314" s="3">
        <f>ROUND(P314/H314,2)</f>
        <v/>
      </c>
      <c r="R314" s="3">
        <f>IF(K314&gt;0,ROUND(H314/K314,2),999)</f>
        <v/>
      </c>
      <c r="S314" s="3" t="inlineStr">
        <is>
          <t>Snack Box</t>
        </is>
      </c>
      <c r="T314" s="3" t="n">
        <v>457</v>
      </c>
      <c r="U314" s="3" t="n">
        <v>32</v>
      </c>
      <c r="V314" s="3" t="n">
        <v>3114</v>
      </c>
      <c r="W314" s="2" t="inlineStr">
        <is>
          <t>New TikTok creative launched, high initial impression share.</t>
        </is>
      </c>
    </row>
    <row r="315">
      <c r="A315" s="4" t="inlineStr">
        <is>
          <t>2024-11-09</t>
        </is>
      </c>
      <c r="B315" s="4" t="inlineStr">
        <is>
          <t>Saturday</t>
        </is>
      </c>
      <c r="C315" s="4" t="n">
        <v>45</v>
      </c>
      <c r="D315" s="4" t="n">
        <v>11</v>
      </c>
      <c r="E315" s="4" t="n">
        <v>4</v>
      </c>
      <c r="F315" s="4" t="inlineStr">
        <is>
          <t>Fall</t>
        </is>
      </c>
      <c r="G315" s="4" t="inlineStr">
        <is>
          <t>Holiday Push</t>
        </is>
      </c>
      <c r="H315" s="5">
        <f>1479.53</f>
        <v/>
      </c>
      <c r="I315" s="5" t="n">
        <v>14662</v>
      </c>
      <c r="J315" s="5" t="n">
        <v>741</v>
      </c>
      <c r="K315" s="5">
        <f>ROUND(C315/I315*100,2)</f>
        <v/>
      </c>
      <c r="L315" s="5" t="n">
        <v>87</v>
      </c>
      <c r="M315" s="5" t="n">
        <v>40</v>
      </c>
      <c r="N315" s="5" t="n">
        <v>127</v>
      </c>
      <c r="O315" s="5">
        <f>ROUND(N315/J315*100,2)</f>
        <v/>
      </c>
      <c r="P315" s="5">
        <f>8037.00</f>
        <v/>
      </c>
      <c r="Q315" s="5">
        <f>ROUND(P315/H315,2)</f>
        <v/>
      </c>
      <c r="R315" s="5">
        <f>IF(K315&gt;0,ROUND(H315/K315,2),999)</f>
        <v/>
      </c>
      <c r="S315" s="5" t="inlineStr">
        <is>
          <t>Pantry</t>
        </is>
      </c>
      <c r="T315" s="5" t="n">
        <v>356</v>
      </c>
      <c r="U315" s="5" t="n">
        <v>81</v>
      </c>
      <c r="V315" s="5" t="n">
        <v>2881</v>
      </c>
      <c r="W315" s="4" t="inlineStr">
        <is>
          <t>Bundle promotion resonating with families segment.</t>
        </is>
      </c>
    </row>
    <row r="316">
      <c r="A316" s="2" t="inlineStr">
        <is>
          <t>2024-11-10</t>
        </is>
      </c>
      <c r="B316" s="2" t="inlineStr">
        <is>
          <t>Sunday</t>
        </is>
      </c>
      <c r="C316" s="2" t="n">
        <v>45</v>
      </c>
      <c r="D316" s="2" t="n">
        <v>11</v>
      </c>
      <c r="E316" s="2" t="n">
        <v>4</v>
      </c>
      <c r="F316" s="2" t="inlineStr">
        <is>
          <t>Fall</t>
        </is>
      </c>
      <c r="G316" s="2" t="inlineStr">
        <is>
          <t>Holiday Push</t>
        </is>
      </c>
      <c r="H316" s="3">
        <f>1222.47</f>
        <v/>
      </c>
      <c r="I316" s="3" t="n">
        <v>15668</v>
      </c>
      <c r="J316" s="3" t="n">
        <v>1161</v>
      </c>
      <c r="K316" s="3">
        <f>ROUND(C316/I316*100,2)</f>
        <v/>
      </c>
      <c r="L316" s="3" t="n">
        <v>76</v>
      </c>
      <c r="M316" s="3" t="n">
        <v>66</v>
      </c>
      <c r="N316" s="3" t="n">
        <v>142</v>
      </c>
      <c r="O316" s="3">
        <f>ROUND(N316/J316*100,2)</f>
        <v/>
      </c>
      <c r="P316" s="3">
        <f>8689.90</f>
        <v/>
      </c>
      <c r="Q316" s="3">
        <f>ROUND(P316/H316,2)</f>
        <v/>
      </c>
      <c r="R316" s="3">
        <f>IF(K316&gt;0,ROUND(H316/K316,2),999)</f>
        <v/>
      </c>
      <c r="S316" s="3" t="inlineStr">
        <is>
          <t>Snack Box</t>
        </is>
      </c>
      <c r="T316" s="3" t="n">
        <v>650</v>
      </c>
      <c r="U316" s="3" t="n">
        <v>117</v>
      </c>
      <c r="V316" s="3" t="n">
        <v>5900</v>
      </c>
      <c r="W316" s="2" t="inlineStr">
        <is>
          <t>Strong Friday engagement, peak subscription signups.</t>
        </is>
      </c>
    </row>
    <row r="317">
      <c r="A317" s="4" t="inlineStr">
        <is>
          <t>2024-11-11</t>
        </is>
      </c>
      <c r="B317" s="4" t="inlineStr">
        <is>
          <t>Monday</t>
        </is>
      </c>
      <c r="C317" s="4" t="n">
        <v>46</v>
      </c>
      <c r="D317" s="4" t="n">
        <v>11</v>
      </c>
      <c r="E317" s="4" t="n">
        <v>4</v>
      </c>
      <c r="F317" s="4" t="inlineStr">
        <is>
          <t>Fall</t>
        </is>
      </c>
      <c r="G317" s="4" t="inlineStr">
        <is>
          <t>Holiday Push</t>
        </is>
      </c>
      <c r="H317" s="5">
        <f>1692.30</f>
        <v/>
      </c>
      <c r="I317" s="5" t="n">
        <v>24748</v>
      </c>
      <c r="J317" s="5" t="n">
        <v>1631</v>
      </c>
      <c r="K317" s="5">
        <f>ROUND(C317/I317*100,2)</f>
        <v/>
      </c>
      <c r="L317" s="5" t="n">
        <v>173</v>
      </c>
      <c r="M317" s="5" t="n">
        <v>52</v>
      </c>
      <c r="N317" s="5" t="n">
        <v>225</v>
      </c>
      <c r="O317" s="5">
        <f>ROUND(N317/J317*100,2)</f>
        <v/>
      </c>
      <c r="P317" s="5">
        <f>14136.18</f>
        <v/>
      </c>
      <c r="Q317" s="5">
        <f>ROUND(P317/H317,2)</f>
        <v/>
      </c>
      <c r="R317" s="5">
        <f>IF(K317&gt;0,ROUND(H317/K317,2),999)</f>
        <v/>
      </c>
      <c r="S317" s="5" t="inlineStr">
        <is>
          <t>Pantry</t>
        </is>
      </c>
      <c r="T317" s="5" t="n">
        <v>1274</v>
      </c>
      <c r="U317" s="5" t="n">
        <v>359</v>
      </c>
      <c r="V317" s="5" t="n">
        <v>5968</v>
      </c>
      <c r="W317" s="4" t="inlineStr">
        <is>
          <t>Budget reallocation to top-performing Google Shopping ads.</t>
        </is>
      </c>
    </row>
    <row r="318">
      <c r="A318" s="2" t="inlineStr">
        <is>
          <t>2024-11-12</t>
        </is>
      </c>
      <c r="B318" s="2" t="inlineStr">
        <is>
          <t>Tuesday</t>
        </is>
      </c>
      <c r="C318" s="2" t="n">
        <v>46</v>
      </c>
      <c r="D318" s="2" t="n">
        <v>11</v>
      </c>
      <c r="E318" s="2" t="n">
        <v>4</v>
      </c>
      <c r="F318" s="2" t="inlineStr">
        <is>
          <t>Fall</t>
        </is>
      </c>
      <c r="G318" s="2" t="inlineStr">
        <is>
          <t>Holiday Push</t>
        </is>
      </c>
      <c r="H318" s="3">
        <f>2161.52</f>
        <v/>
      </c>
      <c r="I318" s="3" t="n">
        <v>27012</v>
      </c>
      <c r="J318" s="3" t="n">
        <v>1662</v>
      </c>
      <c r="K318" s="3">
        <f>ROUND(C318/I318*100,2)</f>
        <v/>
      </c>
      <c r="L318" s="3" t="n">
        <v>196</v>
      </c>
      <c r="M318" s="3" t="n">
        <v>81</v>
      </c>
      <c r="N318" s="3" t="n">
        <v>277</v>
      </c>
      <c r="O318" s="3">
        <f>ROUND(N318/J318*100,2)</f>
        <v/>
      </c>
      <c r="P318" s="3">
        <f>15531.51</f>
        <v/>
      </c>
      <c r="Q318" s="3">
        <f>ROUND(P318/H318,2)</f>
        <v/>
      </c>
      <c r="R318" s="3">
        <f>IF(K318&gt;0,ROUND(H318/K318,2),999)</f>
        <v/>
      </c>
      <c r="S318" s="3" t="inlineStr">
        <is>
          <t>Snack Box</t>
        </is>
      </c>
      <c r="T318" s="3" t="n">
        <v>1165</v>
      </c>
      <c r="U318" s="3" t="n">
        <v>85</v>
      </c>
      <c r="V318" s="3" t="n">
        <v>9220</v>
      </c>
      <c r="W318" s="2" t="inlineStr">
        <is>
          <t>Weather-dependent category performance noted.</t>
        </is>
      </c>
    </row>
    <row r="319">
      <c r="A319" s="4" t="inlineStr">
        <is>
          <t>2024-11-13</t>
        </is>
      </c>
      <c r="B319" s="4" t="inlineStr">
        <is>
          <t>Wednesday</t>
        </is>
      </c>
      <c r="C319" s="4" t="n">
        <v>46</v>
      </c>
      <c r="D319" s="4" t="n">
        <v>11</v>
      </c>
      <c r="E319" s="4" t="n">
        <v>4</v>
      </c>
      <c r="F319" s="4" t="inlineStr">
        <is>
          <t>Fall</t>
        </is>
      </c>
      <c r="G319" s="4" t="inlineStr">
        <is>
          <t>Holiday Push</t>
        </is>
      </c>
      <c r="H319" s="5">
        <f>2105.73</f>
        <v/>
      </c>
      <c r="I319" s="5" t="n">
        <v>21048</v>
      </c>
      <c r="J319" s="5" t="n">
        <v>722</v>
      </c>
      <c r="K319" s="5">
        <f>ROUND(C319/I319*100,2)</f>
        <v/>
      </c>
      <c r="L319" s="5" t="n">
        <v>42</v>
      </c>
      <c r="M319" s="5" t="n">
        <v>30</v>
      </c>
      <c r="N319" s="5" t="n">
        <v>72</v>
      </c>
      <c r="O319" s="5">
        <f>ROUND(N319/J319*100,2)</f>
        <v/>
      </c>
      <c r="P319" s="5">
        <f>3932.08</f>
        <v/>
      </c>
      <c r="Q319" s="5">
        <f>ROUND(P319/H319,2)</f>
        <v/>
      </c>
      <c r="R319" s="5">
        <f>IF(K319&gt;0,ROUND(H319/K319,2),999)</f>
        <v/>
      </c>
      <c r="S319" s="5" t="inlineStr">
        <is>
          <t>Meal Kit</t>
        </is>
      </c>
      <c r="T319" s="5" t="n">
        <v>236</v>
      </c>
      <c r="U319" s="5" t="n">
        <v>86</v>
      </c>
      <c r="V319" s="5" t="n">
        <v>7744</v>
      </c>
      <c r="W319" s="4" t="inlineStr">
        <is>
          <t>Organic search volume spike due to influencer mention.</t>
        </is>
      </c>
    </row>
    <row r="320">
      <c r="A320" s="2" t="inlineStr">
        <is>
          <t>2024-11-14</t>
        </is>
      </c>
      <c r="B320" s="2" t="inlineStr">
        <is>
          <t>Thursday</t>
        </is>
      </c>
      <c r="C320" s="2" t="n">
        <v>46</v>
      </c>
      <c r="D320" s="2" t="n">
        <v>11</v>
      </c>
      <c r="E320" s="2" t="n">
        <v>4</v>
      </c>
      <c r="F320" s="2" t="inlineStr">
        <is>
          <t>Fall</t>
        </is>
      </c>
      <c r="G320" s="2" t="inlineStr">
        <is>
          <t>Holiday Push</t>
        </is>
      </c>
      <c r="H320" s="3">
        <f>1705.12</f>
        <v/>
      </c>
      <c r="I320" s="3" t="n">
        <v>14914</v>
      </c>
      <c r="J320" s="3" t="n">
        <v>943</v>
      </c>
      <c r="K320" s="3">
        <f>ROUND(C320/I320*100,2)</f>
        <v/>
      </c>
      <c r="L320" s="3" t="n">
        <v>73</v>
      </c>
      <c r="M320" s="3" t="n">
        <v>55</v>
      </c>
      <c r="N320" s="3" t="n">
        <v>128</v>
      </c>
      <c r="O320" s="3">
        <f>ROUND(N320/J320*100,2)</f>
        <v/>
      </c>
      <c r="P320" s="3">
        <f>7675.69</f>
        <v/>
      </c>
      <c r="Q320" s="3">
        <f>ROUND(P320/H320,2)</f>
        <v/>
      </c>
      <c r="R320" s="3">
        <f>IF(K320&gt;0,ROUND(H320/K320,2),999)</f>
        <v/>
      </c>
      <c r="S320" s="3" t="inlineStr">
        <is>
          <t>Pantry</t>
        </is>
      </c>
      <c r="T320" s="3" t="n">
        <v>701</v>
      </c>
      <c r="U320" s="3" t="n">
        <v>194</v>
      </c>
      <c r="V320" s="3" t="n">
        <v>2110</v>
      </c>
      <c r="W320" s="2" t="inlineStr">
        <is>
          <t>High-intent keyword performance exceeding benchmarks.</t>
        </is>
      </c>
    </row>
    <row r="321">
      <c r="A321" s="4" t="inlineStr">
        <is>
          <t>2024-11-15</t>
        </is>
      </c>
      <c r="B321" s="4" t="inlineStr">
        <is>
          <t>Friday</t>
        </is>
      </c>
      <c r="C321" s="4" t="n">
        <v>46</v>
      </c>
      <c r="D321" s="4" t="n">
        <v>11</v>
      </c>
      <c r="E321" s="4" t="n">
        <v>4</v>
      </c>
      <c r="F321" s="4" t="inlineStr">
        <is>
          <t>Fall</t>
        </is>
      </c>
      <c r="G321" s="4" t="inlineStr">
        <is>
          <t>Holiday Push</t>
        </is>
      </c>
      <c r="H321" s="5">
        <f>1753.58</f>
        <v/>
      </c>
      <c r="I321" s="5" t="n">
        <v>16454</v>
      </c>
      <c r="J321" s="5" t="n">
        <v>636</v>
      </c>
      <c r="K321" s="5">
        <f>ROUND(C321/I321*100,2)</f>
        <v/>
      </c>
      <c r="L321" s="5" t="n">
        <v>45</v>
      </c>
      <c r="M321" s="5" t="n">
        <v>28</v>
      </c>
      <c r="N321" s="5" t="n">
        <v>73</v>
      </c>
      <c r="O321" s="5">
        <f>ROUND(N321/J321*100,2)</f>
        <v/>
      </c>
      <c r="P321" s="5">
        <f>4709.22</f>
        <v/>
      </c>
      <c r="Q321" s="5">
        <f>ROUND(P321/H321,2)</f>
        <v/>
      </c>
      <c r="R321" s="5">
        <f>IF(K321&gt;0,ROUND(H321/K321,2),999)</f>
        <v/>
      </c>
      <c r="S321" s="5" t="inlineStr">
        <is>
          <t>Pantry</t>
        </is>
      </c>
      <c r="T321" s="5" t="n">
        <v>381</v>
      </c>
      <c r="U321" s="5" t="n">
        <v>75</v>
      </c>
      <c r="V321" s="5" t="n">
        <v>4949</v>
      </c>
      <c r="W321" s="4" t="inlineStr">
        <is>
          <t>Subscription retention improving month-over-month.</t>
        </is>
      </c>
    </row>
    <row r="322">
      <c r="A322" s="2" t="inlineStr">
        <is>
          <t>2024-11-16</t>
        </is>
      </c>
      <c r="B322" s="2" t="inlineStr">
        <is>
          <t>Saturday</t>
        </is>
      </c>
      <c r="C322" s="2" t="n">
        <v>46</v>
      </c>
      <c r="D322" s="2" t="n">
        <v>11</v>
      </c>
      <c r="E322" s="2" t="n">
        <v>4</v>
      </c>
      <c r="F322" s="2" t="inlineStr">
        <is>
          <t>Fall</t>
        </is>
      </c>
      <c r="G322" s="2" t="inlineStr">
        <is>
          <t>Holiday Push</t>
        </is>
      </c>
      <c r="H322" s="3">
        <f>1534.89</f>
        <v/>
      </c>
      <c r="I322" s="3" t="n">
        <v>19848</v>
      </c>
      <c r="J322" s="3" t="n">
        <v>674</v>
      </c>
      <c r="K322" s="3">
        <f>ROUND(C322/I322*100,2)</f>
        <v/>
      </c>
      <c r="L322" s="3" t="n">
        <v>59</v>
      </c>
      <c r="M322" s="3" t="n">
        <v>20</v>
      </c>
      <c r="N322" s="3" t="n">
        <v>79</v>
      </c>
      <c r="O322" s="3">
        <f>ROUND(N322/J322*100,2)</f>
        <v/>
      </c>
      <c r="P322" s="3">
        <f>3693.14</f>
        <v/>
      </c>
      <c r="Q322" s="3">
        <f>ROUND(P322/H322,2)</f>
        <v/>
      </c>
      <c r="R322" s="3">
        <f>IF(K322&gt;0,ROUND(H322/K322,2),999)</f>
        <v/>
      </c>
      <c r="S322" s="3" t="inlineStr">
        <is>
          <t>Pantry</t>
        </is>
      </c>
      <c r="T322" s="3" t="n">
        <v>389</v>
      </c>
      <c r="U322" s="3" t="n">
        <v>114</v>
      </c>
      <c r="V322" s="3" t="n">
        <v>5143</v>
      </c>
      <c r="W322" s="2" t="inlineStr">
        <is>
          <t>Meta lookalike audience expansion successful.</t>
        </is>
      </c>
    </row>
    <row r="323">
      <c r="A323" s="4" t="inlineStr">
        <is>
          <t>2024-11-17</t>
        </is>
      </c>
      <c r="B323" s="4" t="inlineStr">
        <is>
          <t>Sunday</t>
        </is>
      </c>
      <c r="C323" s="4" t="n">
        <v>46</v>
      </c>
      <c r="D323" s="4" t="n">
        <v>11</v>
      </c>
      <c r="E323" s="4" t="n">
        <v>4</v>
      </c>
      <c r="F323" s="4" t="inlineStr">
        <is>
          <t>Fall</t>
        </is>
      </c>
      <c r="G323" s="4" t="inlineStr">
        <is>
          <t>Holiday Push</t>
        </is>
      </c>
      <c r="H323" s="5">
        <f>1461.93</f>
        <v/>
      </c>
      <c r="I323" s="5" t="n">
        <v>11985</v>
      </c>
      <c r="J323" s="5" t="n">
        <v>495</v>
      </c>
      <c r="K323" s="5">
        <f>ROUND(C323/I323*100,2)</f>
        <v/>
      </c>
      <c r="L323" s="5" t="n">
        <v>55</v>
      </c>
      <c r="M323" s="5" t="n">
        <v>14</v>
      </c>
      <c r="N323" s="5" t="n">
        <v>69</v>
      </c>
      <c r="O323" s="5">
        <f>ROUND(N323/J323*100,2)</f>
        <v/>
      </c>
      <c r="P323" s="5">
        <f>4135.52</f>
        <v/>
      </c>
      <c r="Q323" s="5">
        <f>ROUND(P323/H323,2)</f>
        <v/>
      </c>
      <c r="R323" s="5">
        <f>IF(K323&gt;0,ROUND(H323/K323,2),999)</f>
        <v/>
      </c>
      <c r="S323" s="5" t="inlineStr">
        <is>
          <t>Snack Box</t>
        </is>
      </c>
      <c r="T323" s="5" t="n">
        <v>233</v>
      </c>
      <c r="U323" s="5" t="n">
        <v>45</v>
      </c>
      <c r="V323" s="5" t="n">
        <v>2988</v>
      </c>
      <c r="W323" s="4" t="inlineStr">
        <is>
          <t>Test of lifestyle content format underperforming, discontinued.</t>
        </is>
      </c>
    </row>
    <row r="324">
      <c r="A324" s="2" t="inlineStr">
        <is>
          <t>2024-11-18</t>
        </is>
      </c>
      <c r="B324" s="2" t="inlineStr">
        <is>
          <t>Monday</t>
        </is>
      </c>
      <c r="C324" s="2" t="n">
        <v>47</v>
      </c>
      <c r="D324" s="2" t="n">
        <v>11</v>
      </c>
      <c r="E324" s="2" t="n">
        <v>4</v>
      </c>
      <c r="F324" s="2" t="inlineStr">
        <is>
          <t>Fall</t>
        </is>
      </c>
      <c r="G324" s="2" t="inlineStr">
        <is>
          <t>Holiday Push</t>
        </is>
      </c>
      <c r="H324" s="3">
        <f>2018.61</f>
        <v/>
      </c>
      <c r="I324" s="3" t="n">
        <v>29115</v>
      </c>
      <c r="J324" s="3" t="n">
        <v>884</v>
      </c>
      <c r="K324" s="3">
        <f>ROUND(C324/I324*100,2)</f>
        <v/>
      </c>
      <c r="L324" s="3" t="n">
        <v>68</v>
      </c>
      <c r="M324" s="3" t="n">
        <v>20</v>
      </c>
      <c r="N324" s="3" t="n">
        <v>88</v>
      </c>
      <c r="O324" s="3">
        <f>ROUND(N324/J324*100,2)</f>
        <v/>
      </c>
      <c r="P324" s="3">
        <f>4057.51</f>
        <v/>
      </c>
      <c r="Q324" s="3">
        <f>ROUND(P324/H324,2)</f>
        <v/>
      </c>
      <c r="R324" s="3">
        <f>IF(K324&gt;0,ROUND(H324/K324,2),999)</f>
        <v/>
      </c>
      <c r="S324" s="3" t="inlineStr">
        <is>
          <t>Pantry</t>
        </is>
      </c>
      <c r="T324" s="3" t="n">
        <v>294</v>
      </c>
      <c r="U324" s="3" t="n">
        <v>81</v>
      </c>
      <c r="V324" s="3" t="n">
        <v>6231</v>
      </c>
      <c r="W324" s="2" t="inlineStr">
        <is>
          <t>New TikTok creative launched, high initial impression share.</t>
        </is>
      </c>
    </row>
    <row r="325">
      <c r="A325" s="4" t="inlineStr">
        <is>
          <t>2024-11-19</t>
        </is>
      </c>
      <c r="B325" s="4" t="inlineStr">
        <is>
          <t>Tuesday</t>
        </is>
      </c>
      <c r="C325" s="4" t="n">
        <v>47</v>
      </c>
      <c r="D325" s="4" t="n">
        <v>11</v>
      </c>
      <c r="E325" s="4" t="n">
        <v>4</v>
      </c>
      <c r="F325" s="4" t="inlineStr">
        <is>
          <t>Fall</t>
        </is>
      </c>
      <c r="G325" s="4" t="inlineStr">
        <is>
          <t>Holiday Push</t>
        </is>
      </c>
      <c r="H325" s="5">
        <f>2145.19</f>
        <v/>
      </c>
      <c r="I325" s="5" t="n">
        <v>28257</v>
      </c>
      <c r="J325" s="5" t="n">
        <v>1108</v>
      </c>
      <c r="K325" s="5">
        <f>ROUND(C325/I325*100,2)</f>
        <v/>
      </c>
      <c r="L325" s="5" t="n">
        <v>63</v>
      </c>
      <c r="M325" s="5" t="n">
        <v>52</v>
      </c>
      <c r="N325" s="5" t="n">
        <v>115</v>
      </c>
      <c r="O325" s="5">
        <f>ROUND(N325/J325*100,2)</f>
        <v/>
      </c>
      <c r="P325" s="5">
        <f>6919.47</f>
        <v/>
      </c>
      <c r="Q325" s="5">
        <f>ROUND(P325/H325,2)</f>
        <v/>
      </c>
      <c r="R325" s="5">
        <f>IF(K325&gt;0,ROUND(H325/K325,2),999)</f>
        <v/>
      </c>
      <c r="S325" s="5" t="inlineStr">
        <is>
          <t>Pantry</t>
        </is>
      </c>
      <c r="T325" s="5" t="n">
        <v>382</v>
      </c>
      <c r="U325" s="5" t="n">
        <v>77</v>
      </c>
      <c r="V325" s="5" t="n">
        <v>6132</v>
      </c>
      <c r="W325" s="4" t="inlineStr">
        <is>
          <t>Strong Friday engagement, peak subscription signups.</t>
        </is>
      </c>
    </row>
    <row r="326">
      <c r="A326" s="2" t="inlineStr">
        <is>
          <t>2024-11-20</t>
        </is>
      </c>
      <c r="B326" s="2" t="inlineStr">
        <is>
          <t>Wednesday</t>
        </is>
      </c>
      <c r="C326" s="2" t="n">
        <v>47</v>
      </c>
      <c r="D326" s="2" t="n">
        <v>11</v>
      </c>
      <c r="E326" s="2" t="n">
        <v>4</v>
      </c>
      <c r="F326" s="2" t="inlineStr">
        <is>
          <t>Fall</t>
        </is>
      </c>
      <c r="G326" s="2" t="inlineStr">
        <is>
          <t>Holiday Push</t>
        </is>
      </c>
      <c r="H326" s="3">
        <f>1906.10</f>
        <v/>
      </c>
      <c r="I326" s="3" t="n">
        <v>18600</v>
      </c>
      <c r="J326" s="3" t="n">
        <v>859</v>
      </c>
      <c r="K326" s="3">
        <f>ROUND(C326/I326*100,2)</f>
        <v/>
      </c>
      <c r="L326" s="3" t="n">
        <v>79</v>
      </c>
      <c r="M326" s="3" t="n">
        <v>30</v>
      </c>
      <c r="N326" s="3" t="n">
        <v>109</v>
      </c>
      <c r="O326" s="3">
        <f>ROUND(N326/J326*100,2)</f>
        <v/>
      </c>
      <c r="P326" s="3">
        <f>6825.87</f>
        <v/>
      </c>
      <c r="Q326" s="3">
        <f>ROUND(P326/H326,2)</f>
        <v/>
      </c>
      <c r="R326" s="3">
        <f>IF(K326&gt;0,ROUND(H326/K326,2),999)</f>
        <v/>
      </c>
      <c r="S326" s="3" t="inlineStr">
        <is>
          <t>Pantry</t>
        </is>
      </c>
      <c r="T326" s="3" t="n">
        <v>647</v>
      </c>
      <c r="U326" s="3" t="n">
        <v>108</v>
      </c>
      <c r="V326" s="3" t="n">
        <v>3910</v>
      </c>
      <c r="W326" s="2" t="inlineStr">
        <is>
          <t>Meta lookalike audience expansion successful.</t>
        </is>
      </c>
    </row>
    <row r="327">
      <c r="A327" s="4" t="inlineStr">
        <is>
          <t>2024-11-21</t>
        </is>
      </c>
      <c r="B327" s="4" t="inlineStr">
        <is>
          <t>Thursday</t>
        </is>
      </c>
      <c r="C327" s="4" t="n">
        <v>47</v>
      </c>
      <c r="D327" s="4" t="n">
        <v>11</v>
      </c>
      <c r="E327" s="4" t="n">
        <v>4</v>
      </c>
      <c r="F327" s="4" t="inlineStr">
        <is>
          <t>Fall</t>
        </is>
      </c>
      <c r="G327" s="4" t="inlineStr">
        <is>
          <t>Holiday Push</t>
        </is>
      </c>
      <c r="H327" s="5">
        <f>2228.03</f>
        <v/>
      </c>
      <c r="I327" s="5" t="n">
        <v>32429</v>
      </c>
      <c r="J327" s="5" t="n">
        <v>862</v>
      </c>
      <c r="K327" s="5">
        <f>ROUND(C327/I327*100,2)</f>
        <v/>
      </c>
      <c r="L327" s="5" t="n">
        <v>87</v>
      </c>
      <c r="M327" s="5" t="n">
        <v>30</v>
      </c>
      <c r="N327" s="5" t="n">
        <v>117</v>
      </c>
      <c r="O327" s="5">
        <f>ROUND(N327/J327*100,2)</f>
        <v/>
      </c>
      <c r="P327" s="5">
        <f>5516.11</f>
        <v/>
      </c>
      <c r="Q327" s="5">
        <f>ROUND(P327/H327,2)</f>
        <v/>
      </c>
      <c r="R327" s="5">
        <f>IF(K327&gt;0,ROUND(H327/K327,2),999)</f>
        <v/>
      </c>
      <c r="S327" s="5" t="inlineStr">
        <is>
          <t>Snack Box</t>
        </is>
      </c>
      <c r="T327" s="5" t="n">
        <v>437</v>
      </c>
      <c r="U327" s="5" t="n">
        <v>199</v>
      </c>
      <c r="V327" s="5" t="n">
        <v>7960</v>
      </c>
      <c r="W327" s="4" t="inlineStr">
        <is>
          <t>New TikTok creative launched, high initial impression share.</t>
        </is>
      </c>
    </row>
    <row r="328">
      <c r="A328" s="2" t="inlineStr">
        <is>
          <t>2024-11-22</t>
        </is>
      </c>
      <c r="B328" s="2" t="inlineStr">
        <is>
          <t>Friday</t>
        </is>
      </c>
      <c r="C328" s="2" t="n">
        <v>47</v>
      </c>
      <c r="D328" s="2" t="n">
        <v>11</v>
      </c>
      <c r="E328" s="2" t="n">
        <v>4</v>
      </c>
      <c r="F328" s="2" t="inlineStr">
        <is>
          <t>Fall</t>
        </is>
      </c>
      <c r="G328" s="2" t="inlineStr">
        <is>
          <t>Holiday Push</t>
        </is>
      </c>
      <c r="H328" s="3">
        <f>1802.31</f>
        <v/>
      </c>
      <c r="I328" s="3" t="n">
        <v>25355</v>
      </c>
      <c r="J328" s="3" t="n">
        <v>999</v>
      </c>
      <c r="K328" s="3">
        <f>ROUND(C328/I328*100,2)</f>
        <v/>
      </c>
      <c r="L328" s="3" t="n">
        <v>73</v>
      </c>
      <c r="M328" s="3" t="n">
        <v>26</v>
      </c>
      <c r="N328" s="3" t="n">
        <v>99</v>
      </c>
      <c r="O328" s="3">
        <f>ROUND(N328/J328*100,2)</f>
        <v/>
      </c>
      <c r="P328" s="3">
        <f>5361.20</f>
        <v/>
      </c>
      <c r="Q328" s="3">
        <f>ROUND(P328/H328,2)</f>
        <v/>
      </c>
      <c r="R328" s="3">
        <f>IF(K328&gt;0,ROUND(H328/K328,2),999)</f>
        <v/>
      </c>
      <c r="S328" s="3" t="inlineStr">
        <is>
          <t>Pantry</t>
        </is>
      </c>
      <c r="T328" s="3" t="n">
        <v>588</v>
      </c>
      <c r="U328" s="3" t="n">
        <v>161</v>
      </c>
      <c r="V328" s="3" t="n">
        <v>2829</v>
      </c>
      <c r="W328" s="2" t="inlineStr">
        <is>
          <t>Strong Friday engagement, peak subscription signups.</t>
        </is>
      </c>
    </row>
    <row r="329">
      <c r="A329" s="4" t="inlineStr">
        <is>
          <t>2024-11-23</t>
        </is>
      </c>
      <c r="B329" s="4" t="inlineStr">
        <is>
          <t>Saturday</t>
        </is>
      </c>
      <c r="C329" s="4" t="n">
        <v>47</v>
      </c>
      <c r="D329" s="4" t="n">
        <v>11</v>
      </c>
      <c r="E329" s="4" t="n">
        <v>4</v>
      </c>
      <c r="F329" s="4" t="inlineStr">
        <is>
          <t>Fall</t>
        </is>
      </c>
      <c r="G329" s="4" t="inlineStr">
        <is>
          <t>Holiday Push</t>
        </is>
      </c>
      <c r="H329" s="5">
        <f>1381.53</f>
        <v/>
      </c>
      <c r="I329" s="5" t="n">
        <v>19958</v>
      </c>
      <c r="J329" s="5" t="n">
        <v>504</v>
      </c>
      <c r="K329" s="5">
        <f>ROUND(C329/I329*100,2)</f>
        <v/>
      </c>
      <c r="L329" s="5" t="n">
        <v>27</v>
      </c>
      <c r="M329" s="5" t="n">
        <v>30</v>
      </c>
      <c r="N329" s="5" t="n">
        <v>57</v>
      </c>
      <c r="O329" s="5">
        <f>ROUND(N329/J329*100,2)</f>
        <v/>
      </c>
      <c r="P329" s="5">
        <f>3160.51</f>
        <v/>
      </c>
      <c r="Q329" s="5">
        <f>ROUND(P329/H329,2)</f>
        <v/>
      </c>
      <c r="R329" s="5">
        <f>IF(K329&gt;0,ROUND(H329/K329,2),999)</f>
        <v/>
      </c>
      <c r="S329" s="5" t="inlineStr">
        <is>
          <t>Pantry</t>
        </is>
      </c>
      <c r="T329" s="5" t="n">
        <v>176</v>
      </c>
      <c r="U329" s="5" t="n">
        <v>90</v>
      </c>
      <c r="V329" s="5" t="n">
        <v>7237</v>
      </c>
      <c r="W329" s="4" t="inlineStr">
        <is>
          <t>Competitor promotion detected, reduced CPA achieved through optimization.</t>
        </is>
      </c>
    </row>
    <row r="330">
      <c r="A330" s="2" t="inlineStr">
        <is>
          <t>2024-11-24</t>
        </is>
      </c>
      <c r="B330" s="2" t="inlineStr">
        <is>
          <t>Sunday</t>
        </is>
      </c>
      <c r="C330" s="2" t="n">
        <v>47</v>
      </c>
      <c r="D330" s="2" t="n">
        <v>11</v>
      </c>
      <c r="E330" s="2" t="n">
        <v>4</v>
      </c>
      <c r="F330" s="2" t="inlineStr">
        <is>
          <t>Fall</t>
        </is>
      </c>
      <c r="G330" s="2" t="inlineStr">
        <is>
          <t>Holiday Push</t>
        </is>
      </c>
      <c r="H330" s="3">
        <f>1360.36</f>
        <v/>
      </c>
      <c r="I330" s="3" t="n">
        <v>15501</v>
      </c>
      <c r="J330" s="3" t="n">
        <v>498</v>
      </c>
      <c r="K330" s="3">
        <f>ROUND(C330/I330*100,2)</f>
        <v/>
      </c>
      <c r="L330" s="3" t="n">
        <v>32</v>
      </c>
      <c r="M330" s="3" t="n">
        <v>29</v>
      </c>
      <c r="N330" s="3" t="n">
        <v>61</v>
      </c>
      <c r="O330" s="3">
        <f>ROUND(N330/J330*100,2)</f>
        <v/>
      </c>
      <c r="P330" s="3">
        <f>3303.70</f>
        <v/>
      </c>
      <c r="Q330" s="3">
        <f>ROUND(P330/H330,2)</f>
        <v/>
      </c>
      <c r="R330" s="3">
        <f>IF(K330&gt;0,ROUND(H330/K330,2),999)</f>
        <v/>
      </c>
      <c r="S330" s="3" t="inlineStr">
        <is>
          <t>Snack Box</t>
        </is>
      </c>
      <c r="T330" s="3" t="n">
        <v>172</v>
      </c>
      <c r="U330" s="3" t="n">
        <v>74</v>
      </c>
      <c r="V330" s="3" t="n">
        <v>3262</v>
      </c>
      <c r="W330" s="2" t="inlineStr">
        <is>
          <t>Competitor promotion detected, reduced CPA achieved through optimization.</t>
        </is>
      </c>
    </row>
    <row r="331">
      <c r="A331" s="4" t="inlineStr">
        <is>
          <t>2024-11-25</t>
        </is>
      </c>
      <c r="B331" s="4" t="inlineStr">
        <is>
          <t>Monday</t>
        </is>
      </c>
      <c r="C331" s="4" t="n">
        <v>48</v>
      </c>
      <c r="D331" s="4" t="n">
        <v>11</v>
      </c>
      <c r="E331" s="4" t="n">
        <v>4</v>
      </c>
      <c r="F331" s="4" t="inlineStr">
        <is>
          <t>Fall</t>
        </is>
      </c>
      <c r="G331" s="4" t="inlineStr">
        <is>
          <t>Holiday Push</t>
        </is>
      </c>
      <c r="H331" s="5">
        <f>2005.21</f>
        <v/>
      </c>
      <c r="I331" s="5" t="n">
        <v>24772</v>
      </c>
      <c r="J331" s="5" t="n">
        <v>1126</v>
      </c>
      <c r="K331" s="5">
        <f>ROUND(C331/I331*100,2)</f>
        <v/>
      </c>
      <c r="L331" s="5" t="n">
        <v>92</v>
      </c>
      <c r="M331" s="5" t="n">
        <v>30</v>
      </c>
      <c r="N331" s="5" t="n">
        <v>122</v>
      </c>
      <c r="O331" s="5">
        <f>ROUND(N331/J331*100,2)</f>
        <v/>
      </c>
      <c r="P331" s="5">
        <f>7862.20</f>
        <v/>
      </c>
      <c r="Q331" s="5">
        <f>ROUND(P331/H331,2)</f>
        <v/>
      </c>
      <c r="R331" s="5">
        <f>IF(K331&gt;0,ROUND(H331/K331,2),999)</f>
        <v/>
      </c>
      <c r="S331" s="5" t="inlineStr">
        <is>
          <t>Snack Box</t>
        </is>
      </c>
      <c r="T331" s="5" t="n">
        <v>692</v>
      </c>
      <c r="U331" s="5" t="n">
        <v>208</v>
      </c>
      <c r="V331" s="5" t="n">
        <v>5949</v>
      </c>
      <c r="W331" s="4" t="inlineStr">
        <is>
          <t>Test of lifestyle content format underperforming, discontinued.</t>
        </is>
      </c>
    </row>
    <row r="332">
      <c r="A332" s="2" t="inlineStr">
        <is>
          <t>2024-11-26</t>
        </is>
      </c>
      <c r="B332" s="2" t="inlineStr">
        <is>
          <t>Tuesday</t>
        </is>
      </c>
      <c r="C332" s="2" t="n">
        <v>48</v>
      </c>
      <c r="D332" s="2" t="n">
        <v>11</v>
      </c>
      <c r="E332" s="2" t="n">
        <v>4</v>
      </c>
      <c r="F332" s="2" t="inlineStr">
        <is>
          <t>Fall</t>
        </is>
      </c>
      <c r="G332" s="2" t="inlineStr">
        <is>
          <t>Holiday Push</t>
        </is>
      </c>
      <c r="H332" s="3">
        <f>1669.54</f>
        <v/>
      </c>
      <c r="I332" s="3" t="n">
        <v>14757</v>
      </c>
      <c r="J332" s="3" t="n">
        <v>987</v>
      </c>
      <c r="K332" s="3">
        <f>ROUND(C332/I332*100,2)</f>
        <v/>
      </c>
      <c r="L332" s="3" t="n">
        <v>63</v>
      </c>
      <c r="M332" s="3" t="n">
        <v>33</v>
      </c>
      <c r="N332" s="3" t="n">
        <v>96</v>
      </c>
      <c r="O332" s="3">
        <f>ROUND(N332/J332*100,2)</f>
        <v/>
      </c>
      <c r="P332" s="3">
        <f>5738.89</f>
        <v/>
      </c>
      <c r="Q332" s="3">
        <f>ROUND(P332/H332,2)</f>
        <v/>
      </c>
      <c r="R332" s="3">
        <f>IF(K332&gt;0,ROUND(H332/K332,2),999)</f>
        <v/>
      </c>
      <c r="S332" s="3" t="inlineStr">
        <is>
          <t>Meal Kit</t>
        </is>
      </c>
      <c r="T332" s="3" t="n">
        <v>462</v>
      </c>
      <c r="U332" s="3" t="n">
        <v>88</v>
      </c>
      <c r="V332" s="3" t="n">
        <v>5849</v>
      </c>
      <c r="W332" s="2" t="inlineStr">
        <is>
          <t>YouTube pre-roll tested with product demo creatives.</t>
        </is>
      </c>
    </row>
    <row r="333">
      <c r="A333" s="4" t="inlineStr">
        <is>
          <t>2024-11-27</t>
        </is>
      </c>
      <c r="B333" s="4" t="inlineStr">
        <is>
          <t>Wednesday</t>
        </is>
      </c>
      <c r="C333" s="4" t="n">
        <v>48</v>
      </c>
      <c r="D333" s="4" t="n">
        <v>11</v>
      </c>
      <c r="E333" s="4" t="n">
        <v>4</v>
      </c>
      <c r="F333" s="4" t="inlineStr">
        <is>
          <t>Fall</t>
        </is>
      </c>
      <c r="G333" s="4" t="inlineStr">
        <is>
          <t>Post-Holiday</t>
        </is>
      </c>
      <c r="H333" s="5">
        <f>2135.99</f>
        <v/>
      </c>
      <c r="I333" s="5" t="n">
        <v>25696</v>
      </c>
      <c r="J333" s="5" t="n">
        <v>1330</v>
      </c>
      <c r="K333" s="5">
        <f>ROUND(C333/I333*100,2)</f>
        <v/>
      </c>
      <c r="L333" s="5" t="n">
        <v>99</v>
      </c>
      <c r="M333" s="5" t="n">
        <v>33</v>
      </c>
      <c r="N333" s="5" t="n">
        <v>132</v>
      </c>
      <c r="O333" s="5">
        <f>ROUND(N333/J333*100,2)</f>
        <v/>
      </c>
      <c r="P333" s="5">
        <f>8337.94</f>
        <v/>
      </c>
      <c r="Q333" s="5">
        <f>ROUND(P333/H333,2)</f>
        <v/>
      </c>
      <c r="R333" s="5">
        <f>IF(K333&gt;0,ROUND(H333/K333,2),999)</f>
        <v/>
      </c>
      <c r="S333" s="5" t="inlineStr">
        <is>
          <t>Snack Box</t>
        </is>
      </c>
      <c r="T333" s="5" t="n">
        <v>790</v>
      </c>
      <c r="U333" s="5" t="n">
        <v>198</v>
      </c>
      <c r="V333" s="5" t="n">
        <v>7447</v>
      </c>
      <c r="W333" s="4" t="inlineStr">
        <is>
          <t>Test of lifestyle content format underperforming, discontinued.</t>
        </is>
      </c>
    </row>
    <row r="334">
      <c r="A334" s="2" t="inlineStr">
        <is>
          <t>2024-11-28</t>
        </is>
      </c>
      <c r="B334" s="2" t="inlineStr">
        <is>
          <t>Thursday</t>
        </is>
      </c>
      <c r="C334" s="2" t="n">
        <v>48</v>
      </c>
      <c r="D334" s="2" t="n">
        <v>11</v>
      </c>
      <c r="E334" s="2" t="n">
        <v>4</v>
      </c>
      <c r="F334" s="2" t="inlineStr">
        <is>
          <t>Fall</t>
        </is>
      </c>
      <c r="G334" s="2" t="inlineStr">
        <is>
          <t>Post-Holiday</t>
        </is>
      </c>
      <c r="H334" s="3">
        <f>1932.05</f>
        <v/>
      </c>
      <c r="I334" s="3" t="n">
        <v>28191</v>
      </c>
      <c r="J334" s="3" t="n">
        <v>1885</v>
      </c>
      <c r="K334" s="3">
        <f>ROUND(C334/I334*100,2)</f>
        <v/>
      </c>
      <c r="L334" s="3" t="n">
        <v>131</v>
      </c>
      <c r="M334" s="3" t="n">
        <v>107</v>
      </c>
      <c r="N334" s="3" t="n">
        <v>238</v>
      </c>
      <c r="O334" s="3">
        <f>ROUND(N334/J334*100,2)</f>
        <v/>
      </c>
      <c r="P334" s="3">
        <f>11751.94</f>
        <v/>
      </c>
      <c r="Q334" s="3">
        <f>ROUND(P334/H334,2)</f>
        <v/>
      </c>
      <c r="R334" s="3">
        <f>IF(K334&gt;0,ROUND(H334/K334,2),999)</f>
        <v/>
      </c>
      <c r="S334" s="3" t="inlineStr">
        <is>
          <t>Pantry</t>
        </is>
      </c>
      <c r="T334" s="3" t="n">
        <v>1205</v>
      </c>
      <c r="U334" s="3" t="n">
        <v>460</v>
      </c>
      <c r="V334" s="3" t="n">
        <v>8396</v>
      </c>
      <c r="W334" s="2" t="inlineStr">
        <is>
          <t>Strong Friday engagement, peak subscription signups.</t>
        </is>
      </c>
    </row>
    <row r="335">
      <c r="A335" s="4" t="inlineStr">
        <is>
          <t>2024-11-29</t>
        </is>
      </c>
      <c r="B335" s="4" t="inlineStr">
        <is>
          <t>Friday</t>
        </is>
      </c>
      <c r="C335" s="4" t="n">
        <v>48</v>
      </c>
      <c r="D335" s="4" t="n">
        <v>11</v>
      </c>
      <c r="E335" s="4" t="n">
        <v>4</v>
      </c>
      <c r="F335" s="4" t="inlineStr">
        <is>
          <t>Fall</t>
        </is>
      </c>
      <c r="G335" s="4" t="inlineStr">
        <is>
          <t>Post-Holiday</t>
        </is>
      </c>
      <c r="H335" s="5">
        <f>2153.16</f>
        <v/>
      </c>
      <c r="I335" s="5" t="n">
        <v>17495</v>
      </c>
      <c r="J335" s="5" t="n">
        <v>434</v>
      </c>
      <c r="K335" s="5">
        <f>ROUND(C335/I335*100,2)</f>
        <v/>
      </c>
      <c r="L335" s="5" t="n">
        <v>33</v>
      </c>
      <c r="M335" s="5" t="n">
        <v>12</v>
      </c>
      <c r="N335" s="5" t="n">
        <v>45</v>
      </c>
      <c r="O335" s="5">
        <f>ROUND(N335/J335*100,2)</f>
        <v/>
      </c>
      <c r="P335" s="5">
        <f>2818.05</f>
        <v/>
      </c>
      <c r="Q335" s="5">
        <f>ROUND(P335/H335,2)</f>
        <v/>
      </c>
      <c r="R335" s="5">
        <f>IF(K335&gt;0,ROUND(H335/K335,2),999)</f>
        <v/>
      </c>
      <c r="S335" s="5" t="inlineStr">
        <is>
          <t>Pantry</t>
        </is>
      </c>
      <c r="T335" s="5" t="n">
        <v>258</v>
      </c>
      <c r="U335" s="5" t="n">
        <v>53</v>
      </c>
      <c r="V335" s="5" t="n">
        <v>5442</v>
      </c>
      <c r="W335" s="4" t="inlineStr">
        <is>
          <t>Test of lifestyle content format underperforming, discontinued.</t>
        </is>
      </c>
    </row>
    <row r="336">
      <c r="A336" s="2" t="inlineStr">
        <is>
          <t>2024-11-30</t>
        </is>
      </c>
      <c r="B336" s="2" t="inlineStr">
        <is>
          <t>Saturday</t>
        </is>
      </c>
      <c r="C336" s="2" t="n">
        <v>48</v>
      </c>
      <c r="D336" s="2" t="n">
        <v>11</v>
      </c>
      <c r="E336" s="2" t="n">
        <v>4</v>
      </c>
      <c r="F336" s="2" t="inlineStr">
        <is>
          <t>Fall</t>
        </is>
      </c>
      <c r="G336" s="2" t="inlineStr">
        <is>
          <t>Post-Holiday</t>
        </is>
      </c>
      <c r="H336" s="3">
        <f>1261.18</f>
        <v/>
      </c>
      <c r="I336" s="3" t="n">
        <v>18661</v>
      </c>
      <c r="J336" s="3" t="n">
        <v>943</v>
      </c>
      <c r="K336" s="3">
        <f>ROUND(C336/I336*100,2)</f>
        <v/>
      </c>
      <c r="L336" s="3" t="n">
        <v>55</v>
      </c>
      <c r="M336" s="3" t="n">
        <v>49</v>
      </c>
      <c r="N336" s="3" t="n">
        <v>104</v>
      </c>
      <c r="O336" s="3">
        <f>ROUND(N336/J336*100,2)</f>
        <v/>
      </c>
      <c r="P336" s="3">
        <f>5518.80</f>
        <v/>
      </c>
      <c r="Q336" s="3">
        <f>ROUND(P336/H336,2)</f>
        <v/>
      </c>
      <c r="R336" s="3">
        <f>IF(K336&gt;0,ROUND(H336/K336,2),999)</f>
        <v/>
      </c>
      <c r="S336" s="3" t="inlineStr">
        <is>
          <t>Meal Kit</t>
        </is>
      </c>
      <c r="T336" s="3" t="n">
        <v>733</v>
      </c>
      <c r="U336" s="3" t="n">
        <v>71</v>
      </c>
      <c r="V336" s="3" t="n">
        <v>7360</v>
      </c>
      <c r="W336" s="2" t="inlineStr">
        <is>
          <t>Strong Friday engagement, peak subscription signups.</t>
        </is>
      </c>
    </row>
    <row r="337">
      <c r="A337" s="4" t="inlineStr">
        <is>
          <t>2024-12-01</t>
        </is>
      </c>
      <c r="B337" s="4" t="inlineStr">
        <is>
          <t>Sunday</t>
        </is>
      </c>
      <c r="C337" s="4" t="n">
        <v>48</v>
      </c>
      <c r="D337" s="4" t="n">
        <v>12</v>
      </c>
      <c r="E337" s="4" t="n">
        <v>4</v>
      </c>
      <c r="F337" s="4" t="inlineStr">
        <is>
          <t>Winter</t>
        </is>
      </c>
      <c r="G337" s="4" t="inlineStr">
        <is>
          <t>Post-Holiday</t>
        </is>
      </c>
      <c r="H337" s="5">
        <f>1280.47</f>
        <v/>
      </c>
      <c r="I337" s="5" t="n">
        <v>15123</v>
      </c>
      <c r="J337" s="5" t="n">
        <v>548</v>
      </c>
      <c r="K337" s="5">
        <f>ROUND(C337/I337*100,2)</f>
        <v/>
      </c>
      <c r="L337" s="5" t="n">
        <v>43</v>
      </c>
      <c r="M337" s="5" t="n">
        <v>12</v>
      </c>
      <c r="N337" s="5" t="n">
        <v>55</v>
      </c>
      <c r="O337" s="5">
        <f>ROUND(N337/J337*100,2)</f>
        <v/>
      </c>
      <c r="P337" s="5">
        <f>3421.11</f>
        <v/>
      </c>
      <c r="Q337" s="5">
        <f>ROUND(P337/H337,2)</f>
        <v/>
      </c>
      <c r="R337" s="5">
        <f>IF(K337&gt;0,ROUND(H337/K337,2),999)</f>
        <v/>
      </c>
      <c r="S337" s="5" t="inlineStr">
        <is>
          <t>Meal Kit</t>
        </is>
      </c>
      <c r="T337" s="5" t="n">
        <v>196</v>
      </c>
      <c r="U337" s="5" t="n">
        <v>109</v>
      </c>
      <c r="V337" s="5" t="n">
        <v>5597</v>
      </c>
      <c r="W337" s="4" t="inlineStr">
        <is>
          <t>Strong Friday engagement, peak subscription signups.</t>
        </is>
      </c>
    </row>
    <row r="338">
      <c r="A338" s="2" t="inlineStr">
        <is>
          <t>2024-12-02</t>
        </is>
      </c>
      <c r="B338" s="2" t="inlineStr">
        <is>
          <t>Monday</t>
        </is>
      </c>
      <c r="C338" s="2" t="n">
        <v>49</v>
      </c>
      <c r="D338" s="2" t="n">
        <v>12</v>
      </c>
      <c r="E338" s="2" t="n">
        <v>4</v>
      </c>
      <c r="F338" s="2" t="inlineStr">
        <is>
          <t>Winter</t>
        </is>
      </c>
      <c r="G338" s="2" t="inlineStr">
        <is>
          <t>Post-Holiday</t>
        </is>
      </c>
      <c r="H338" s="3">
        <f>1917.94</f>
        <v/>
      </c>
      <c r="I338" s="3" t="n">
        <v>23427</v>
      </c>
      <c r="J338" s="3" t="n">
        <v>1589</v>
      </c>
      <c r="K338" s="3">
        <f>ROUND(C338/I338*100,2)</f>
        <v/>
      </c>
      <c r="L338" s="3" t="n">
        <v>121</v>
      </c>
      <c r="M338" s="3" t="n">
        <v>42</v>
      </c>
      <c r="N338" s="3" t="n">
        <v>163</v>
      </c>
      <c r="O338" s="3">
        <f>ROUND(N338/J338*100,2)</f>
        <v/>
      </c>
      <c r="P338" s="3">
        <f>10171.17</f>
        <v/>
      </c>
      <c r="Q338" s="3">
        <f>ROUND(P338/H338,2)</f>
        <v/>
      </c>
      <c r="R338" s="3">
        <f>IF(K338&gt;0,ROUND(H338/K338,2),999)</f>
        <v/>
      </c>
      <c r="S338" s="3" t="inlineStr">
        <is>
          <t>Snack Box</t>
        </is>
      </c>
      <c r="T338" s="3" t="n">
        <v>758</v>
      </c>
      <c r="U338" s="3" t="n">
        <v>112</v>
      </c>
      <c r="V338" s="3" t="n">
        <v>8133</v>
      </c>
      <c r="W338" s="2" t="inlineStr">
        <is>
          <t>Test of lifestyle content format underperforming, discontinued.</t>
        </is>
      </c>
    </row>
    <row r="339">
      <c r="A339" s="4" t="inlineStr">
        <is>
          <t>2024-12-03</t>
        </is>
      </c>
      <c r="B339" s="4" t="inlineStr">
        <is>
          <t>Tuesday</t>
        </is>
      </c>
      <c r="C339" s="4" t="n">
        <v>49</v>
      </c>
      <c r="D339" s="4" t="n">
        <v>12</v>
      </c>
      <c r="E339" s="4" t="n">
        <v>4</v>
      </c>
      <c r="F339" s="4" t="inlineStr">
        <is>
          <t>Winter</t>
        </is>
      </c>
      <c r="G339" s="4" t="inlineStr">
        <is>
          <t>Post-Holiday</t>
        </is>
      </c>
      <c r="H339" s="5">
        <f>2234.04</f>
        <v/>
      </c>
      <c r="I339" s="5" t="n">
        <v>24539</v>
      </c>
      <c r="J339" s="5" t="n">
        <v>1105</v>
      </c>
      <c r="K339" s="5">
        <f>ROUND(C339/I339*100,2)</f>
        <v/>
      </c>
      <c r="L339" s="5" t="n">
        <v>84</v>
      </c>
      <c r="M339" s="5" t="n">
        <v>23</v>
      </c>
      <c r="N339" s="5" t="n">
        <v>107</v>
      </c>
      <c r="O339" s="5">
        <f>ROUND(N339/J339*100,2)</f>
        <v/>
      </c>
      <c r="P339" s="5">
        <f>5088.70</f>
        <v/>
      </c>
      <c r="Q339" s="5">
        <f>ROUND(P339/H339,2)</f>
        <v/>
      </c>
      <c r="R339" s="5">
        <f>IF(K339&gt;0,ROUND(H339/K339,2),999)</f>
        <v/>
      </c>
      <c r="S339" s="5" t="inlineStr">
        <is>
          <t>Pantry</t>
        </is>
      </c>
      <c r="T339" s="5" t="n">
        <v>859</v>
      </c>
      <c r="U339" s="5" t="n">
        <v>159</v>
      </c>
      <c r="V339" s="5" t="n">
        <v>4380</v>
      </c>
      <c r="W339" s="4" t="inlineStr">
        <is>
          <t>High-intent keyword performance exceeding benchmarks.</t>
        </is>
      </c>
    </row>
    <row r="340">
      <c r="A340" s="2" t="inlineStr">
        <is>
          <t>2024-12-04</t>
        </is>
      </c>
      <c r="B340" s="2" t="inlineStr">
        <is>
          <t>Wednesday</t>
        </is>
      </c>
      <c r="C340" s="2" t="n">
        <v>49</v>
      </c>
      <c r="D340" s="2" t="n">
        <v>12</v>
      </c>
      <c r="E340" s="2" t="n">
        <v>4</v>
      </c>
      <c r="F340" s="2" t="inlineStr">
        <is>
          <t>Winter</t>
        </is>
      </c>
      <c r="G340" s="2" t="inlineStr">
        <is>
          <t>Post-Holiday</t>
        </is>
      </c>
      <c r="H340" s="3">
        <f>1728.86</f>
        <v/>
      </c>
      <c r="I340" s="3" t="n">
        <v>23017</v>
      </c>
      <c r="J340" s="3" t="n">
        <v>950</v>
      </c>
      <c r="K340" s="3">
        <f>ROUND(C340/I340*100,2)</f>
        <v/>
      </c>
      <c r="L340" s="3" t="n">
        <v>106</v>
      </c>
      <c r="M340" s="3" t="n">
        <v>53</v>
      </c>
      <c r="N340" s="3" t="n">
        <v>159</v>
      </c>
      <c r="O340" s="3">
        <f>ROUND(N340/J340*100,2)</f>
        <v/>
      </c>
      <c r="P340" s="3">
        <f>9492.92</f>
        <v/>
      </c>
      <c r="Q340" s="3">
        <f>ROUND(P340/H340,2)</f>
        <v/>
      </c>
      <c r="R340" s="3">
        <f>IF(K340&gt;0,ROUND(H340/K340,2),999)</f>
        <v/>
      </c>
      <c r="S340" s="3" t="inlineStr">
        <is>
          <t>Snack Box</t>
        </is>
      </c>
      <c r="T340" s="3" t="n">
        <v>707</v>
      </c>
      <c r="U340" s="3" t="n">
        <v>176</v>
      </c>
      <c r="V340" s="3" t="n">
        <v>4599</v>
      </c>
      <c r="W340" s="2" t="inlineStr">
        <is>
          <t>Seasonal surge in health-conscious persona segments.</t>
        </is>
      </c>
    </row>
    <row r="341">
      <c r="A341" s="4" t="inlineStr">
        <is>
          <t>2024-12-05</t>
        </is>
      </c>
      <c r="B341" s="4" t="inlineStr">
        <is>
          <t>Thursday</t>
        </is>
      </c>
      <c r="C341" s="4" t="n">
        <v>49</v>
      </c>
      <c r="D341" s="4" t="n">
        <v>12</v>
      </c>
      <c r="E341" s="4" t="n">
        <v>4</v>
      </c>
      <c r="F341" s="4" t="inlineStr">
        <is>
          <t>Winter</t>
        </is>
      </c>
      <c r="G341" s="4" t="inlineStr">
        <is>
          <t>Post-Holiday</t>
        </is>
      </c>
      <c r="H341" s="5">
        <f>2226.75</f>
        <v/>
      </c>
      <c r="I341" s="5" t="n">
        <v>21801</v>
      </c>
      <c r="J341" s="5" t="n">
        <v>1704</v>
      </c>
      <c r="K341" s="5">
        <f>ROUND(C341/I341*100,2)</f>
        <v/>
      </c>
      <c r="L341" s="5" t="n">
        <v>117</v>
      </c>
      <c r="M341" s="5" t="n">
        <v>87</v>
      </c>
      <c r="N341" s="5" t="n">
        <v>204</v>
      </c>
      <c r="O341" s="5">
        <f>ROUND(N341/J341*100,2)</f>
        <v/>
      </c>
      <c r="P341" s="5">
        <f>9877.22</f>
        <v/>
      </c>
      <c r="Q341" s="5">
        <f>ROUND(P341/H341,2)</f>
        <v/>
      </c>
      <c r="R341" s="5">
        <f>IF(K341&gt;0,ROUND(H341/K341,2),999)</f>
        <v/>
      </c>
      <c r="S341" s="5" t="inlineStr">
        <is>
          <t>Meal Kit</t>
        </is>
      </c>
      <c r="T341" s="5" t="n">
        <v>1231</v>
      </c>
      <c r="U341" s="5" t="n">
        <v>409</v>
      </c>
      <c r="V341" s="5" t="n">
        <v>5892</v>
      </c>
      <c r="W341" s="4" t="inlineStr">
        <is>
          <t>New customer acquisition cost declining with better audience targeting.</t>
        </is>
      </c>
    </row>
    <row r="342">
      <c r="A342" s="2" t="inlineStr">
        <is>
          <t>2024-12-06</t>
        </is>
      </c>
      <c r="B342" s="2" t="inlineStr">
        <is>
          <t>Friday</t>
        </is>
      </c>
      <c r="C342" s="2" t="n">
        <v>49</v>
      </c>
      <c r="D342" s="2" t="n">
        <v>12</v>
      </c>
      <c r="E342" s="2" t="n">
        <v>4</v>
      </c>
      <c r="F342" s="2" t="inlineStr">
        <is>
          <t>Winter</t>
        </is>
      </c>
      <c r="G342" s="2" t="inlineStr">
        <is>
          <t>Post-Holiday</t>
        </is>
      </c>
      <c r="H342" s="3">
        <f>1760.47</f>
        <v/>
      </c>
      <c r="I342" s="3" t="n">
        <v>14468</v>
      </c>
      <c r="J342" s="3" t="n">
        <v>892</v>
      </c>
      <c r="K342" s="3">
        <f>ROUND(C342/I342*100,2)</f>
        <v/>
      </c>
      <c r="L342" s="3" t="n">
        <v>64</v>
      </c>
      <c r="M342" s="3" t="n">
        <v>48</v>
      </c>
      <c r="N342" s="3" t="n">
        <v>112</v>
      </c>
      <c r="O342" s="3">
        <f>ROUND(N342/J342*100,2)</f>
        <v/>
      </c>
      <c r="P342" s="3">
        <f>5193.36</f>
        <v/>
      </c>
      <c r="Q342" s="3">
        <f>ROUND(P342/H342,2)</f>
        <v/>
      </c>
      <c r="R342" s="3">
        <f>IF(K342&gt;0,ROUND(H342/K342,2),999)</f>
        <v/>
      </c>
      <c r="S342" s="3" t="inlineStr">
        <is>
          <t>Meal Kit</t>
        </is>
      </c>
      <c r="T342" s="3" t="n">
        <v>323</v>
      </c>
      <c r="U342" s="3" t="n">
        <v>103</v>
      </c>
      <c r="V342" s="3" t="n">
        <v>2728</v>
      </c>
      <c r="W342" s="2" t="inlineStr">
        <is>
          <t>Meta lookalike audience expansion successful.</t>
        </is>
      </c>
    </row>
    <row r="343">
      <c r="A343" s="4" t="inlineStr">
        <is>
          <t>2024-12-07</t>
        </is>
      </c>
      <c r="B343" s="4" t="inlineStr">
        <is>
          <t>Saturday</t>
        </is>
      </c>
      <c r="C343" s="4" t="n">
        <v>49</v>
      </c>
      <c r="D343" s="4" t="n">
        <v>12</v>
      </c>
      <c r="E343" s="4" t="n">
        <v>4</v>
      </c>
      <c r="F343" s="4" t="inlineStr">
        <is>
          <t>Winter</t>
        </is>
      </c>
      <c r="G343" s="4" t="inlineStr">
        <is>
          <t>Post-Holiday</t>
        </is>
      </c>
      <c r="H343" s="5">
        <f>1482.00</f>
        <v/>
      </c>
      <c r="I343" s="5" t="n">
        <v>18628</v>
      </c>
      <c r="J343" s="5" t="n">
        <v>889</v>
      </c>
      <c r="K343" s="5">
        <f>ROUND(C343/I343*100,2)</f>
        <v/>
      </c>
      <c r="L343" s="5" t="n">
        <v>45</v>
      </c>
      <c r="M343" s="5" t="n">
        <v>53</v>
      </c>
      <c r="N343" s="5" t="n">
        <v>98</v>
      </c>
      <c r="O343" s="5">
        <f>ROUND(N343/J343*100,2)</f>
        <v/>
      </c>
      <c r="P343" s="5">
        <f>5361.29</f>
        <v/>
      </c>
      <c r="Q343" s="5">
        <f>ROUND(P343/H343,2)</f>
        <v/>
      </c>
      <c r="R343" s="5">
        <f>IF(K343&gt;0,ROUND(H343/K343,2),999)</f>
        <v/>
      </c>
      <c r="S343" s="5" t="inlineStr">
        <is>
          <t>Pantry</t>
        </is>
      </c>
      <c r="T343" s="5" t="n">
        <v>394</v>
      </c>
      <c r="U343" s="5" t="n">
        <v>193</v>
      </c>
      <c r="V343" s="5" t="n">
        <v>3269</v>
      </c>
      <c r="W343" s="4" t="inlineStr">
        <is>
          <t>Subscription retention improving month-over-month.</t>
        </is>
      </c>
    </row>
    <row r="344">
      <c r="A344" s="2" t="inlineStr">
        <is>
          <t>2024-12-08</t>
        </is>
      </c>
      <c r="B344" s="2" t="inlineStr">
        <is>
          <t>Sunday</t>
        </is>
      </c>
      <c r="C344" s="2" t="n">
        <v>49</v>
      </c>
      <c r="D344" s="2" t="n">
        <v>12</v>
      </c>
      <c r="E344" s="2" t="n">
        <v>4</v>
      </c>
      <c r="F344" s="2" t="inlineStr">
        <is>
          <t>Winter</t>
        </is>
      </c>
      <c r="G344" s="2" t="inlineStr">
        <is>
          <t>Post-Holiday</t>
        </is>
      </c>
      <c r="H344" s="3">
        <f>1480.40</f>
        <v/>
      </c>
      <c r="I344" s="3" t="n">
        <v>18166</v>
      </c>
      <c r="J344" s="3" t="n">
        <v>1245</v>
      </c>
      <c r="K344" s="3">
        <f>ROUND(C344/I344*100,2)</f>
        <v/>
      </c>
      <c r="L344" s="3" t="n">
        <v>137</v>
      </c>
      <c r="M344" s="3" t="n">
        <v>45</v>
      </c>
      <c r="N344" s="3" t="n">
        <v>182</v>
      </c>
      <c r="O344" s="3">
        <f>ROUND(N344/J344*100,2)</f>
        <v/>
      </c>
      <c r="P344" s="3">
        <f>9846.15</f>
        <v/>
      </c>
      <c r="Q344" s="3">
        <f>ROUND(P344/H344,2)</f>
        <v/>
      </c>
      <c r="R344" s="3">
        <f>IF(K344&gt;0,ROUND(H344/K344,2),999)</f>
        <v/>
      </c>
      <c r="S344" s="3" t="inlineStr">
        <is>
          <t>Pantry</t>
        </is>
      </c>
      <c r="T344" s="3" t="n">
        <v>796</v>
      </c>
      <c r="U344" s="3" t="n">
        <v>305</v>
      </c>
      <c r="V344" s="3" t="n">
        <v>6571</v>
      </c>
      <c r="W344" s="2" t="inlineStr">
        <is>
          <t>Strong Friday engagement, peak subscription signups.</t>
        </is>
      </c>
    </row>
    <row r="345">
      <c r="A345" s="4" t="inlineStr">
        <is>
          <t>2024-12-09</t>
        </is>
      </c>
      <c r="B345" s="4" t="inlineStr">
        <is>
          <t>Monday</t>
        </is>
      </c>
      <c r="C345" s="4" t="n">
        <v>50</v>
      </c>
      <c r="D345" s="4" t="n">
        <v>12</v>
      </c>
      <c r="E345" s="4" t="n">
        <v>4</v>
      </c>
      <c r="F345" s="4" t="inlineStr">
        <is>
          <t>Winter</t>
        </is>
      </c>
      <c r="G345" s="4" t="inlineStr">
        <is>
          <t>Post-Holiday</t>
        </is>
      </c>
      <c r="H345" s="5">
        <f>1663.99</f>
        <v/>
      </c>
      <c r="I345" s="5" t="n">
        <v>21842</v>
      </c>
      <c r="J345" s="5" t="n">
        <v>926</v>
      </c>
      <c r="K345" s="5">
        <f>ROUND(C345/I345*100,2)</f>
        <v/>
      </c>
      <c r="L345" s="5" t="n">
        <v>62</v>
      </c>
      <c r="M345" s="5" t="n">
        <v>30</v>
      </c>
      <c r="N345" s="5" t="n">
        <v>92</v>
      </c>
      <c r="O345" s="5">
        <f>ROUND(N345/J345*100,2)</f>
        <v/>
      </c>
      <c r="P345" s="5">
        <f>4642.47</f>
        <v/>
      </c>
      <c r="Q345" s="5">
        <f>ROUND(P345/H345,2)</f>
        <v/>
      </c>
      <c r="R345" s="5">
        <f>IF(K345&gt;0,ROUND(H345/K345,2),999)</f>
        <v/>
      </c>
      <c r="S345" s="5" t="inlineStr">
        <is>
          <t>Snack Box</t>
        </is>
      </c>
      <c r="T345" s="5" t="n">
        <v>307</v>
      </c>
      <c r="U345" s="5" t="n">
        <v>218</v>
      </c>
      <c r="V345" s="5" t="n">
        <v>7800</v>
      </c>
      <c r="W345" s="4" t="inlineStr">
        <is>
          <t>Subscription retention improving month-over-month.</t>
        </is>
      </c>
    </row>
    <row r="346">
      <c r="A346" s="2" t="inlineStr">
        <is>
          <t>2024-12-10</t>
        </is>
      </c>
      <c r="B346" s="2" t="inlineStr">
        <is>
          <t>Tuesday</t>
        </is>
      </c>
      <c r="C346" s="2" t="n">
        <v>50</v>
      </c>
      <c r="D346" s="2" t="n">
        <v>12</v>
      </c>
      <c r="E346" s="2" t="n">
        <v>4</v>
      </c>
      <c r="F346" s="2" t="inlineStr">
        <is>
          <t>Winter</t>
        </is>
      </c>
      <c r="G346" s="2" t="inlineStr">
        <is>
          <t>Post-Holiday</t>
        </is>
      </c>
      <c r="H346" s="3">
        <f>2081.46</f>
        <v/>
      </c>
      <c r="I346" s="3" t="n">
        <v>31020</v>
      </c>
      <c r="J346" s="3" t="n">
        <v>2021</v>
      </c>
      <c r="K346" s="3">
        <f>ROUND(C346/I346*100,2)</f>
        <v/>
      </c>
      <c r="L346" s="3" t="n">
        <v>171</v>
      </c>
      <c r="M346" s="3" t="n">
        <v>46</v>
      </c>
      <c r="N346" s="3" t="n">
        <v>217</v>
      </c>
      <c r="O346" s="3">
        <f>ROUND(N346/J346*100,2)</f>
        <v/>
      </c>
      <c r="P346" s="3">
        <f>11416.33</f>
        <v/>
      </c>
      <c r="Q346" s="3">
        <f>ROUND(P346/H346,2)</f>
        <v/>
      </c>
      <c r="R346" s="3">
        <f>IF(K346&gt;0,ROUND(H346/K346,2),999)</f>
        <v/>
      </c>
      <c r="S346" s="3" t="inlineStr">
        <is>
          <t>Meal Kit</t>
        </is>
      </c>
      <c r="T346" s="3" t="n">
        <v>1195</v>
      </c>
      <c r="U346" s="3" t="n">
        <v>263</v>
      </c>
      <c r="V346" s="3" t="n">
        <v>12243</v>
      </c>
      <c r="W346" s="2" t="inlineStr">
        <is>
          <t>YouTube pre-roll tested with product demo creatives.</t>
        </is>
      </c>
    </row>
    <row r="347">
      <c r="A347" s="4" t="inlineStr">
        <is>
          <t>2024-12-11</t>
        </is>
      </c>
      <c r="B347" s="4" t="inlineStr">
        <is>
          <t>Wednesday</t>
        </is>
      </c>
      <c r="C347" s="4" t="n">
        <v>50</v>
      </c>
      <c r="D347" s="4" t="n">
        <v>12</v>
      </c>
      <c r="E347" s="4" t="n">
        <v>4</v>
      </c>
      <c r="F347" s="4" t="inlineStr">
        <is>
          <t>Winter</t>
        </is>
      </c>
      <c r="G347" s="4" t="inlineStr">
        <is>
          <t>Post-Holiday</t>
        </is>
      </c>
      <c r="H347" s="5">
        <f>1715.35</f>
        <v/>
      </c>
      <c r="I347" s="5" t="n">
        <v>15548</v>
      </c>
      <c r="J347" s="5" t="n">
        <v>732</v>
      </c>
      <c r="K347" s="5">
        <f>ROUND(C347/I347*100,2)</f>
        <v/>
      </c>
      <c r="L347" s="5" t="n">
        <v>87</v>
      </c>
      <c r="M347" s="5" t="n">
        <v>23</v>
      </c>
      <c r="N347" s="5" t="n">
        <v>110</v>
      </c>
      <c r="O347" s="5">
        <f>ROUND(N347/J347*100,2)</f>
        <v/>
      </c>
      <c r="P347" s="5">
        <f>6306.20</f>
        <v/>
      </c>
      <c r="Q347" s="5">
        <f>ROUND(P347/H347,2)</f>
        <v/>
      </c>
      <c r="R347" s="5">
        <f>IF(K347&gt;0,ROUND(H347/K347,2),999)</f>
        <v/>
      </c>
      <c r="S347" s="5" t="inlineStr">
        <is>
          <t>Pantry</t>
        </is>
      </c>
      <c r="T347" s="5" t="n">
        <v>228</v>
      </c>
      <c r="U347" s="5" t="n">
        <v>123</v>
      </c>
      <c r="V347" s="5" t="n">
        <v>5130</v>
      </c>
      <c r="W347" s="4" t="inlineStr">
        <is>
          <t>Tuesday peak for email nurture campaigns.</t>
        </is>
      </c>
    </row>
    <row r="348">
      <c r="A348" s="2" t="inlineStr">
        <is>
          <t>2024-12-12</t>
        </is>
      </c>
      <c r="B348" s="2" t="inlineStr">
        <is>
          <t>Thursday</t>
        </is>
      </c>
      <c r="C348" s="2" t="n">
        <v>50</v>
      </c>
      <c r="D348" s="2" t="n">
        <v>12</v>
      </c>
      <c r="E348" s="2" t="n">
        <v>4</v>
      </c>
      <c r="F348" s="2" t="inlineStr">
        <is>
          <t>Winter</t>
        </is>
      </c>
      <c r="G348" s="2" t="inlineStr">
        <is>
          <t>Post-Holiday</t>
        </is>
      </c>
      <c r="H348" s="3">
        <f>2058.25</f>
        <v/>
      </c>
      <c r="I348" s="3" t="n">
        <v>28474</v>
      </c>
      <c r="J348" s="3" t="n">
        <v>1676</v>
      </c>
      <c r="K348" s="3">
        <f>ROUND(C348/I348*100,2)</f>
        <v/>
      </c>
      <c r="L348" s="3" t="n">
        <v>85</v>
      </c>
      <c r="M348" s="3" t="n">
        <v>63</v>
      </c>
      <c r="N348" s="3" t="n">
        <v>148</v>
      </c>
      <c r="O348" s="3">
        <f>ROUND(N348/J348*100,2)</f>
        <v/>
      </c>
      <c r="P348" s="3">
        <f>8296.16</f>
        <v/>
      </c>
      <c r="Q348" s="3">
        <f>ROUND(P348/H348,2)</f>
        <v/>
      </c>
      <c r="R348" s="3">
        <f>IF(K348&gt;0,ROUND(H348/K348,2),999)</f>
        <v/>
      </c>
      <c r="S348" s="3" t="inlineStr">
        <is>
          <t>Pantry</t>
        </is>
      </c>
      <c r="T348" s="3" t="n">
        <v>518</v>
      </c>
      <c r="U348" s="3" t="n">
        <v>340</v>
      </c>
      <c r="V348" s="3" t="n">
        <v>9239</v>
      </c>
      <c r="W348" s="2" t="inlineStr">
        <is>
          <t>Bundle promotion resonating with families segment.</t>
        </is>
      </c>
    </row>
    <row r="349">
      <c r="A349" s="4" t="inlineStr">
        <is>
          <t>2024-12-13</t>
        </is>
      </c>
      <c r="B349" s="4" t="inlineStr">
        <is>
          <t>Friday</t>
        </is>
      </c>
      <c r="C349" s="4" t="n">
        <v>50</v>
      </c>
      <c r="D349" s="4" t="n">
        <v>12</v>
      </c>
      <c r="E349" s="4" t="n">
        <v>4</v>
      </c>
      <c r="F349" s="4" t="inlineStr">
        <is>
          <t>Winter</t>
        </is>
      </c>
      <c r="G349" s="4" t="inlineStr">
        <is>
          <t>Post-Holiday</t>
        </is>
      </c>
      <c r="H349" s="5">
        <f>1742.57</f>
        <v/>
      </c>
      <c r="I349" s="5" t="n">
        <v>18741</v>
      </c>
      <c r="J349" s="5" t="n">
        <v>1025</v>
      </c>
      <c r="K349" s="5">
        <f>ROUND(C349/I349*100,2)</f>
        <v/>
      </c>
      <c r="L349" s="5" t="n">
        <v>54</v>
      </c>
      <c r="M349" s="5" t="n">
        <v>38</v>
      </c>
      <c r="N349" s="5" t="n">
        <v>92</v>
      </c>
      <c r="O349" s="5">
        <f>ROUND(N349/J349*100,2)</f>
        <v/>
      </c>
      <c r="P349" s="5">
        <f>4182.13</f>
        <v/>
      </c>
      <c r="Q349" s="5">
        <f>ROUND(P349/H349,2)</f>
        <v/>
      </c>
      <c r="R349" s="5">
        <f>IF(K349&gt;0,ROUND(H349/K349,2),999)</f>
        <v/>
      </c>
      <c r="S349" s="5" t="inlineStr">
        <is>
          <t>Snack Box</t>
        </is>
      </c>
      <c r="T349" s="5" t="n">
        <v>627</v>
      </c>
      <c r="U349" s="5" t="n">
        <v>74</v>
      </c>
      <c r="V349" s="5" t="n">
        <v>3422</v>
      </c>
      <c r="W349" s="4" t="inlineStr">
        <is>
          <t>Strong Friday engagement, peak subscription signups.</t>
        </is>
      </c>
    </row>
    <row r="350">
      <c r="A350" s="2" t="inlineStr">
        <is>
          <t>2024-12-14</t>
        </is>
      </c>
      <c r="B350" s="2" t="inlineStr">
        <is>
          <t>Saturday</t>
        </is>
      </c>
      <c r="C350" s="2" t="n">
        <v>50</v>
      </c>
      <c r="D350" s="2" t="n">
        <v>12</v>
      </c>
      <c r="E350" s="2" t="n">
        <v>4</v>
      </c>
      <c r="F350" s="2" t="inlineStr">
        <is>
          <t>Winter</t>
        </is>
      </c>
      <c r="G350" s="2" t="inlineStr">
        <is>
          <t>Post-Holiday</t>
        </is>
      </c>
      <c r="H350" s="3">
        <f>1455.08</f>
        <v/>
      </c>
      <c r="I350" s="3" t="n">
        <v>17291</v>
      </c>
      <c r="J350" s="3" t="n">
        <v>1303</v>
      </c>
      <c r="K350" s="3">
        <f>ROUND(C350/I350*100,2)</f>
        <v/>
      </c>
      <c r="L350" s="3" t="n">
        <v>105</v>
      </c>
      <c r="M350" s="3" t="n">
        <v>47</v>
      </c>
      <c r="N350" s="3" t="n">
        <v>152</v>
      </c>
      <c r="O350" s="3">
        <f>ROUND(N350/J350*100,2)</f>
        <v/>
      </c>
      <c r="P350" s="3">
        <f>9733.51</f>
        <v/>
      </c>
      <c r="Q350" s="3">
        <f>ROUND(P350/H350,2)</f>
        <v/>
      </c>
      <c r="R350" s="3">
        <f>IF(K350&gt;0,ROUND(H350/K350,2),999)</f>
        <v/>
      </c>
      <c r="S350" s="3" t="inlineStr">
        <is>
          <t>Snack Box</t>
        </is>
      </c>
      <c r="T350" s="3" t="n">
        <v>932</v>
      </c>
      <c r="U350" s="3" t="n">
        <v>293</v>
      </c>
      <c r="V350" s="3" t="n">
        <v>5321</v>
      </c>
      <c r="W350" s="2" t="inlineStr">
        <is>
          <t>High-intent keyword performance exceeding benchmarks.</t>
        </is>
      </c>
    </row>
    <row r="351">
      <c r="A351" s="4" t="inlineStr">
        <is>
          <t>2024-12-15</t>
        </is>
      </c>
      <c r="B351" s="4" t="inlineStr">
        <is>
          <t>Sunday</t>
        </is>
      </c>
      <c r="C351" s="4" t="n">
        <v>50</v>
      </c>
      <c r="D351" s="4" t="n">
        <v>12</v>
      </c>
      <c r="E351" s="4" t="n">
        <v>4</v>
      </c>
      <c r="F351" s="4" t="inlineStr">
        <is>
          <t>Winter</t>
        </is>
      </c>
      <c r="G351" s="4" t="inlineStr">
        <is>
          <t>Post-Holiday</t>
        </is>
      </c>
      <c r="H351" s="5">
        <f>1552.76</f>
        <v/>
      </c>
      <c r="I351" s="5" t="n">
        <v>18091</v>
      </c>
      <c r="J351" s="5" t="n">
        <v>1429</v>
      </c>
      <c r="K351" s="5">
        <f>ROUND(C351/I351*100,2)</f>
        <v/>
      </c>
      <c r="L351" s="5" t="n">
        <v>86</v>
      </c>
      <c r="M351" s="5" t="n">
        <v>38</v>
      </c>
      <c r="N351" s="5" t="n">
        <v>124</v>
      </c>
      <c r="O351" s="5">
        <f>ROUND(N351/J351*100,2)</f>
        <v/>
      </c>
      <c r="P351" s="5">
        <f>6782.31</f>
        <v/>
      </c>
      <c r="Q351" s="5">
        <f>ROUND(P351/H351,2)</f>
        <v/>
      </c>
      <c r="R351" s="5">
        <f>IF(K351&gt;0,ROUND(H351/K351,2),999)</f>
        <v/>
      </c>
      <c r="S351" s="5" t="inlineStr">
        <is>
          <t>Snack Box</t>
        </is>
      </c>
      <c r="T351" s="5" t="n">
        <v>674</v>
      </c>
      <c r="U351" s="5" t="n">
        <v>318</v>
      </c>
      <c r="V351" s="5" t="n">
        <v>6883</v>
      </c>
      <c r="W351" s="4" t="inlineStr">
        <is>
          <t>Bundle promotion resonating with families segment.</t>
        </is>
      </c>
    </row>
    <row r="352">
      <c r="A352" s="2" t="inlineStr">
        <is>
          <t>2024-12-16</t>
        </is>
      </c>
      <c r="B352" s="2" t="inlineStr">
        <is>
          <t>Monday</t>
        </is>
      </c>
      <c r="C352" s="2" t="n">
        <v>51</v>
      </c>
      <c r="D352" s="2" t="n">
        <v>12</v>
      </c>
      <c r="E352" s="2" t="n">
        <v>4</v>
      </c>
      <c r="F352" s="2" t="inlineStr">
        <is>
          <t>Winter</t>
        </is>
      </c>
      <c r="G352" s="2" t="inlineStr">
        <is>
          <t>Post-Holiday</t>
        </is>
      </c>
      <c r="H352" s="3">
        <f>1870.27</f>
        <v/>
      </c>
      <c r="I352" s="3" t="n">
        <v>21429</v>
      </c>
      <c r="J352" s="3" t="n">
        <v>1595</v>
      </c>
      <c r="K352" s="3">
        <f>ROUND(C352/I352*100,2)</f>
        <v/>
      </c>
      <c r="L352" s="3" t="n">
        <v>142</v>
      </c>
      <c r="M352" s="3" t="n">
        <v>54</v>
      </c>
      <c r="N352" s="3" t="n">
        <v>196</v>
      </c>
      <c r="O352" s="3">
        <f>ROUND(N352/J352*100,2)</f>
        <v/>
      </c>
      <c r="P352" s="3">
        <f>12372.61</f>
        <v/>
      </c>
      <c r="Q352" s="3">
        <f>ROUND(P352/H352,2)</f>
        <v/>
      </c>
      <c r="R352" s="3">
        <f>IF(K352&gt;0,ROUND(H352/K352,2),999)</f>
        <v/>
      </c>
      <c r="S352" s="3" t="inlineStr">
        <is>
          <t>Meal Kit</t>
        </is>
      </c>
      <c r="T352" s="3" t="n">
        <v>1079</v>
      </c>
      <c r="U352" s="3" t="n">
        <v>93</v>
      </c>
      <c r="V352" s="3" t="n">
        <v>4464</v>
      </c>
      <c r="W352" s="2" t="inlineStr">
        <is>
          <t>Bundle promotion resonating with families segment.</t>
        </is>
      </c>
    </row>
    <row r="353">
      <c r="A353" s="4" t="inlineStr">
        <is>
          <t>2024-12-17</t>
        </is>
      </c>
      <c r="B353" s="4" t="inlineStr">
        <is>
          <t>Tuesday</t>
        </is>
      </c>
      <c r="C353" s="4" t="n">
        <v>51</v>
      </c>
      <c r="D353" s="4" t="n">
        <v>12</v>
      </c>
      <c r="E353" s="4" t="n">
        <v>4</v>
      </c>
      <c r="F353" s="4" t="inlineStr">
        <is>
          <t>Winter</t>
        </is>
      </c>
      <c r="G353" s="4" t="inlineStr">
        <is>
          <t>Post-Holiday</t>
        </is>
      </c>
      <c r="H353" s="5">
        <f>1925.58</f>
        <v/>
      </c>
      <c r="I353" s="5" t="n">
        <v>28503</v>
      </c>
      <c r="J353" s="5" t="n">
        <v>777</v>
      </c>
      <c r="K353" s="5">
        <f>ROUND(C353/I353*100,2)</f>
        <v/>
      </c>
      <c r="L353" s="5" t="n">
        <v>90</v>
      </c>
      <c r="M353" s="5" t="n">
        <v>31</v>
      </c>
      <c r="N353" s="5" t="n">
        <v>121</v>
      </c>
      <c r="O353" s="5">
        <f>ROUND(N353/J353*100,2)</f>
        <v/>
      </c>
      <c r="P353" s="5">
        <f>6242.66</f>
        <v/>
      </c>
      <c r="Q353" s="5">
        <f>ROUND(P353/H353,2)</f>
        <v/>
      </c>
      <c r="R353" s="5">
        <f>IF(K353&gt;0,ROUND(H353/K353,2),999)</f>
        <v/>
      </c>
      <c r="S353" s="5" t="inlineStr">
        <is>
          <t>Meal Kit</t>
        </is>
      </c>
      <c r="T353" s="5" t="n">
        <v>538</v>
      </c>
      <c r="U353" s="5" t="n">
        <v>184</v>
      </c>
      <c r="V353" s="5" t="n">
        <v>8065</v>
      </c>
      <c r="W353" s="4" t="inlineStr">
        <is>
          <t>Bundle promotion resonating with families segment.</t>
        </is>
      </c>
    </row>
    <row r="354">
      <c r="A354" s="2" t="inlineStr">
        <is>
          <t>2024-12-18</t>
        </is>
      </c>
      <c r="B354" s="2" t="inlineStr">
        <is>
          <t>Wednesday</t>
        </is>
      </c>
      <c r="C354" s="2" t="n">
        <v>51</v>
      </c>
      <c r="D354" s="2" t="n">
        <v>12</v>
      </c>
      <c r="E354" s="2" t="n">
        <v>4</v>
      </c>
      <c r="F354" s="2" t="inlineStr">
        <is>
          <t>Winter</t>
        </is>
      </c>
      <c r="G354" s="2" t="inlineStr">
        <is>
          <t>Post-Holiday</t>
        </is>
      </c>
      <c r="H354" s="3">
        <f>1801.56</f>
        <v/>
      </c>
      <c r="I354" s="3" t="n">
        <v>18703</v>
      </c>
      <c r="J354" s="3" t="n">
        <v>1317</v>
      </c>
      <c r="K354" s="3">
        <f>ROUND(C354/I354*100,2)</f>
        <v/>
      </c>
      <c r="L354" s="3" t="n">
        <v>88</v>
      </c>
      <c r="M354" s="3" t="n">
        <v>76</v>
      </c>
      <c r="N354" s="3" t="n">
        <v>164</v>
      </c>
      <c r="O354" s="3">
        <f>ROUND(N354/J354*100,2)</f>
        <v/>
      </c>
      <c r="P354" s="3">
        <f>9979.55</f>
        <v/>
      </c>
      <c r="Q354" s="3">
        <f>ROUND(P354/H354,2)</f>
        <v/>
      </c>
      <c r="R354" s="3">
        <f>IF(K354&gt;0,ROUND(H354/K354,2),999)</f>
        <v/>
      </c>
      <c r="S354" s="3" t="inlineStr">
        <is>
          <t>Meal Kit</t>
        </is>
      </c>
      <c r="T354" s="3" t="n">
        <v>527</v>
      </c>
      <c r="U354" s="3" t="n">
        <v>318</v>
      </c>
      <c r="V354" s="3" t="n">
        <v>2126</v>
      </c>
      <c r="W354" s="2" t="inlineStr">
        <is>
          <t>YouTube pre-roll tested with product demo creatives.</t>
        </is>
      </c>
    </row>
    <row r="355">
      <c r="A355" s="4" t="inlineStr">
        <is>
          <t>2024-12-19</t>
        </is>
      </c>
      <c r="B355" s="4" t="inlineStr">
        <is>
          <t>Thursday</t>
        </is>
      </c>
      <c r="C355" s="4" t="n">
        <v>51</v>
      </c>
      <c r="D355" s="4" t="n">
        <v>12</v>
      </c>
      <c r="E355" s="4" t="n">
        <v>4</v>
      </c>
      <c r="F355" s="4" t="inlineStr">
        <is>
          <t>Winter</t>
        </is>
      </c>
      <c r="G355" s="4" t="inlineStr">
        <is>
          <t>Post-Holiday</t>
        </is>
      </c>
      <c r="H355" s="5">
        <f>1692.10</f>
        <v/>
      </c>
      <c r="I355" s="5" t="n">
        <v>18397</v>
      </c>
      <c r="J355" s="5" t="n">
        <v>1141</v>
      </c>
      <c r="K355" s="5">
        <f>ROUND(C355/I355*100,2)</f>
        <v/>
      </c>
      <c r="L355" s="5" t="n">
        <v>59</v>
      </c>
      <c r="M355" s="5" t="n">
        <v>63</v>
      </c>
      <c r="N355" s="5" t="n">
        <v>122</v>
      </c>
      <c r="O355" s="5">
        <f>ROUND(N355/J355*100,2)</f>
        <v/>
      </c>
      <c r="P355" s="5">
        <f>5946.30</f>
        <v/>
      </c>
      <c r="Q355" s="5">
        <f>ROUND(P355/H355,2)</f>
        <v/>
      </c>
      <c r="R355" s="5">
        <f>IF(K355&gt;0,ROUND(H355/K355,2),999)</f>
        <v/>
      </c>
      <c r="S355" s="5" t="inlineStr">
        <is>
          <t>Meal Kit</t>
        </is>
      </c>
      <c r="T355" s="5" t="n">
        <v>344</v>
      </c>
      <c r="U355" s="5" t="n">
        <v>114</v>
      </c>
      <c r="V355" s="5" t="n">
        <v>6775</v>
      </c>
      <c r="W355" s="4" t="inlineStr">
        <is>
          <t>Subscription retention improving month-over-month.</t>
        </is>
      </c>
    </row>
    <row r="356">
      <c r="A356" s="2" t="inlineStr">
        <is>
          <t>2024-12-20</t>
        </is>
      </c>
      <c r="B356" s="2" t="inlineStr">
        <is>
          <t>Friday</t>
        </is>
      </c>
      <c r="C356" s="2" t="n">
        <v>51</v>
      </c>
      <c r="D356" s="2" t="n">
        <v>12</v>
      </c>
      <c r="E356" s="2" t="n">
        <v>4</v>
      </c>
      <c r="F356" s="2" t="inlineStr">
        <is>
          <t>Winter</t>
        </is>
      </c>
      <c r="G356" s="2" t="inlineStr">
        <is>
          <t>Post-Holiday</t>
        </is>
      </c>
      <c r="H356" s="3">
        <f>1789.78</f>
        <v/>
      </c>
      <c r="I356" s="3" t="n">
        <v>19349</v>
      </c>
      <c r="J356" s="3" t="n">
        <v>777</v>
      </c>
      <c r="K356" s="3">
        <f>ROUND(C356/I356*100,2)</f>
        <v/>
      </c>
      <c r="L356" s="3" t="n">
        <v>47</v>
      </c>
      <c r="M356" s="3" t="n">
        <v>16</v>
      </c>
      <c r="N356" s="3" t="n">
        <v>63</v>
      </c>
      <c r="O356" s="3">
        <f>ROUND(N356/J356*100,2)</f>
        <v/>
      </c>
      <c r="P356" s="3">
        <f>3735.84</f>
        <v/>
      </c>
      <c r="Q356" s="3">
        <f>ROUND(P356/H356,2)</f>
        <v/>
      </c>
      <c r="R356" s="3">
        <f>IF(K356&gt;0,ROUND(H356/K356,2),999)</f>
        <v/>
      </c>
      <c r="S356" s="3" t="inlineStr">
        <is>
          <t>Meal Kit</t>
        </is>
      </c>
      <c r="T356" s="3" t="n">
        <v>361</v>
      </c>
      <c r="U356" s="3" t="n">
        <v>70</v>
      </c>
      <c r="V356" s="3" t="n">
        <v>2356</v>
      </c>
      <c r="W356" s="2" t="inlineStr">
        <is>
          <t>Mobile conversion rate optimization showing 12% improvement.</t>
        </is>
      </c>
    </row>
    <row r="357">
      <c r="A357" s="4" t="inlineStr">
        <is>
          <t>2024-12-21</t>
        </is>
      </c>
      <c r="B357" s="4" t="inlineStr">
        <is>
          <t>Saturday</t>
        </is>
      </c>
      <c r="C357" s="4" t="n">
        <v>51</v>
      </c>
      <c r="D357" s="4" t="n">
        <v>12</v>
      </c>
      <c r="E357" s="4" t="n">
        <v>4</v>
      </c>
      <c r="F357" s="4" t="inlineStr">
        <is>
          <t>Winter</t>
        </is>
      </c>
      <c r="G357" s="4" t="inlineStr">
        <is>
          <t>Post-Holiday</t>
        </is>
      </c>
      <c r="H357" s="5">
        <f>1536.66</f>
        <v/>
      </c>
      <c r="I357" s="5" t="n">
        <v>12344</v>
      </c>
      <c r="J357" s="5" t="n">
        <v>593</v>
      </c>
      <c r="K357" s="5">
        <f>ROUND(C357/I357*100,2)</f>
        <v/>
      </c>
      <c r="L357" s="5" t="n">
        <v>68</v>
      </c>
      <c r="M357" s="5" t="n">
        <v>21</v>
      </c>
      <c r="N357" s="5" t="n">
        <v>89</v>
      </c>
      <c r="O357" s="5">
        <f>ROUND(N357/J357*100,2)</f>
        <v/>
      </c>
      <c r="P357" s="5">
        <f>4144.80</f>
        <v/>
      </c>
      <c r="Q357" s="5">
        <f>ROUND(P357/H357,2)</f>
        <v/>
      </c>
      <c r="R357" s="5">
        <f>IF(K357&gt;0,ROUND(H357/K357,2),999)</f>
        <v/>
      </c>
      <c r="S357" s="5" t="inlineStr">
        <is>
          <t>Pantry</t>
        </is>
      </c>
      <c r="T357" s="5" t="n">
        <v>211</v>
      </c>
      <c r="U357" s="5" t="n">
        <v>107</v>
      </c>
      <c r="V357" s="5" t="n">
        <v>4158</v>
      </c>
      <c r="W357" s="4" t="inlineStr">
        <is>
          <t>Mobile conversion rate optimization showing 12% improvement.</t>
        </is>
      </c>
    </row>
    <row r="358">
      <c r="A358" s="2" t="inlineStr">
        <is>
          <t>2024-12-22</t>
        </is>
      </c>
      <c r="B358" s="2" t="inlineStr">
        <is>
          <t>Sunday</t>
        </is>
      </c>
      <c r="C358" s="2" t="n">
        <v>51</v>
      </c>
      <c r="D358" s="2" t="n">
        <v>12</v>
      </c>
      <c r="E358" s="2" t="n">
        <v>4</v>
      </c>
      <c r="F358" s="2" t="inlineStr">
        <is>
          <t>Winter</t>
        </is>
      </c>
      <c r="G358" s="2" t="inlineStr">
        <is>
          <t>Post-Holiday</t>
        </is>
      </c>
      <c r="H358" s="3">
        <f>1305.95</f>
        <v/>
      </c>
      <c r="I358" s="3" t="n">
        <v>15738</v>
      </c>
      <c r="J358" s="3" t="n">
        <v>980</v>
      </c>
      <c r="K358" s="3">
        <f>ROUND(C358/I358*100,2)</f>
        <v/>
      </c>
      <c r="L358" s="3" t="n">
        <v>58</v>
      </c>
      <c r="M358" s="3" t="n">
        <v>57</v>
      </c>
      <c r="N358" s="3" t="n">
        <v>115</v>
      </c>
      <c r="O358" s="3">
        <f>ROUND(N358/J358*100,2)</f>
        <v/>
      </c>
      <c r="P358" s="3">
        <f>6211.04</f>
        <v/>
      </c>
      <c r="Q358" s="3">
        <f>ROUND(P358/H358,2)</f>
        <v/>
      </c>
      <c r="R358" s="3">
        <f>IF(K358&gt;0,ROUND(H358/K358,2),999)</f>
        <v/>
      </c>
      <c r="S358" s="3" t="inlineStr">
        <is>
          <t>Snack Box</t>
        </is>
      </c>
      <c r="T358" s="3" t="n">
        <v>749</v>
      </c>
      <c r="U358" s="3" t="n">
        <v>240</v>
      </c>
      <c r="V358" s="3" t="n">
        <v>3776</v>
      </c>
      <c r="W358" s="2" t="inlineStr">
        <is>
          <t>Weekend dip in conversions, organic traffic remains steady.</t>
        </is>
      </c>
    </row>
    <row r="359">
      <c r="A359" s="4" t="inlineStr">
        <is>
          <t>2024-12-23</t>
        </is>
      </c>
      <c r="B359" s="4" t="inlineStr">
        <is>
          <t>Monday</t>
        </is>
      </c>
      <c r="C359" s="4" t="n">
        <v>52</v>
      </c>
      <c r="D359" s="4" t="n">
        <v>12</v>
      </c>
      <c r="E359" s="4" t="n">
        <v>4</v>
      </c>
      <c r="F359" s="4" t="inlineStr">
        <is>
          <t>Winter</t>
        </is>
      </c>
      <c r="G359" s="4" t="inlineStr">
        <is>
          <t>Post-Holiday</t>
        </is>
      </c>
      <c r="H359" s="5">
        <f>1977.58</f>
        <v/>
      </c>
      <c r="I359" s="5" t="n">
        <v>25107</v>
      </c>
      <c r="J359" s="5" t="n">
        <v>910</v>
      </c>
      <c r="K359" s="5">
        <f>ROUND(C359/I359*100,2)</f>
        <v/>
      </c>
      <c r="L359" s="5" t="n">
        <v>86</v>
      </c>
      <c r="M359" s="5" t="n">
        <v>20</v>
      </c>
      <c r="N359" s="5" t="n">
        <v>106</v>
      </c>
      <c r="O359" s="5">
        <f>ROUND(N359/J359*100,2)</f>
        <v/>
      </c>
      <c r="P359" s="5">
        <f>5598.69</f>
        <v/>
      </c>
      <c r="Q359" s="5">
        <f>ROUND(P359/H359,2)</f>
        <v/>
      </c>
      <c r="R359" s="5">
        <f>IF(K359&gt;0,ROUND(H359/K359,2),999)</f>
        <v/>
      </c>
      <c r="S359" s="5" t="inlineStr">
        <is>
          <t>Pantry</t>
        </is>
      </c>
      <c r="T359" s="5" t="n">
        <v>690</v>
      </c>
      <c r="U359" s="5" t="n">
        <v>130</v>
      </c>
      <c r="V359" s="5" t="n">
        <v>2873</v>
      </c>
      <c r="W359" s="4" t="inlineStr">
        <is>
          <t>Subscription retention improving month-over-month.</t>
        </is>
      </c>
    </row>
    <row r="360">
      <c r="A360" s="2" t="inlineStr">
        <is>
          <t>2024-12-24</t>
        </is>
      </c>
      <c r="B360" s="2" t="inlineStr">
        <is>
          <t>Tuesday</t>
        </is>
      </c>
      <c r="C360" s="2" t="n">
        <v>52</v>
      </c>
      <c r="D360" s="2" t="n">
        <v>12</v>
      </c>
      <c r="E360" s="2" t="n">
        <v>4</v>
      </c>
      <c r="F360" s="2" t="inlineStr">
        <is>
          <t>Winter</t>
        </is>
      </c>
      <c r="G360" s="2" t="inlineStr">
        <is>
          <t>Post-Holiday</t>
        </is>
      </c>
      <c r="H360" s="3">
        <f>2160.50</f>
        <v/>
      </c>
      <c r="I360" s="3" t="n">
        <v>26786</v>
      </c>
      <c r="J360" s="3" t="n">
        <v>1885</v>
      </c>
      <c r="K360" s="3">
        <f>ROUND(C360/I360*100,2)</f>
        <v/>
      </c>
      <c r="L360" s="3" t="n">
        <v>103</v>
      </c>
      <c r="M360" s="3" t="n">
        <v>52</v>
      </c>
      <c r="N360" s="3" t="n">
        <v>155</v>
      </c>
      <c r="O360" s="3">
        <f>ROUND(N360/J360*100,2)</f>
        <v/>
      </c>
      <c r="P360" s="3">
        <f>8306.03</f>
        <v/>
      </c>
      <c r="Q360" s="3">
        <f>ROUND(P360/H360,2)</f>
        <v/>
      </c>
      <c r="R360" s="3">
        <f>IF(K360&gt;0,ROUND(H360/K360,2),999)</f>
        <v/>
      </c>
      <c r="S360" s="3" t="inlineStr">
        <is>
          <t>Meal Kit</t>
        </is>
      </c>
      <c r="T360" s="3" t="n">
        <v>1242</v>
      </c>
      <c r="U360" s="3" t="n">
        <v>109</v>
      </c>
      <c r="V360" s="3" t="n">
        <v>7866</v>
      </c>
      <c r="W360" s="2" t="inlineStr">
        <is>
          <t>Competitor promotion detected, reduced CPA achieved through optimization.</t>
        </is>
      </c>
    </row>
    <row r="361">
      <c r="A361" s="4" t="inlineStr">
        <is>
          <t>2024-12-25</t>
        </is>
      </c>
      <c r="B361" s="4" t="inlineStr">
        <is>
          <t>Wednesday</t>
        </is>
      </c>
      <c r="C361" s="4" t="n">
        <v>52</v>
      </c>
      <c r="D361" s="4" t="n">
        <v>12</v>
      </c>
      <c r="E361" s="4" t="n">
        <v>4</v>
      </c>
      <c r="F361" s="4" t="inlineStr">
        <is>
          <t>Winter</t>
        </is>
      </c>
      <c r="G361" s="4" t="inlineStr">
        <is>
          <t>Post-Holiday</t>
        </is>
      </c>
      <c r="H361" s="5">
        <f>1930.67</f>
        <v/>
      </c>
      <c r="I361" s="5" t="n">
        <v>18428</v>
      </c>
      <c r="J361" s="5" t="n">
        <v>564</v>
      </c>
      <c r="K361" s="5">
        <f>ROUND(C361/I361*100,2)</f>
        <v/>
      </c>
      <c r="L361" s="5" t="n">
        <v>41</v>
      </c>
      <c r="M361" s="5" t="n">
        <v>29</v>
      </c>
      <c r="N361" s="5" t="n">
        <v>70</v>
      </c>
      <c r="O361" s="5">
        <f>ROUND(N361/J361*100,2)</f>
        <v/>
      </c>
      <c r="P361" s="5">
        <f>4262.89</f>
        <v/>
      </c>
      <c r="Q361" s="5">
        <f>ROUND(P361/H361,2)</f>
        <v/>
      </c>
      <c r="R361" s="5">
        <f>IF(K361&gt;0,ROUND(H361/K361,2),999)</f>
        <v/>
      </c>
      <c r="S361" s="5" t="inlineStr">
        <is>
          <t>Pantry</t>
        </is>
      </c>
      <c r="T361" s="5" t="n">
        <v>332</v>
      </c>
      <c r="U361" s="5" t="n">
        <v>61</v>
      </c>
      <c r="V361" s="5" t="n">
        <v>3419</v>
      </c>
      <c r="W361" s="4" t="inlineStr">
        <is>
          <t>Mobile conversion rate optimization showing 12% improvement.</t>
        </is>
      </c>
    </row>
    <row r="362">
      <c r="A362" s="2" t="inlineStr">
        <is>
          <t>2024-12-26</t>
        </is>
      </c>
      <c r="B362" s="2" t="inlineStr">
        <is>
          <t>Thursday</t>
        </is>
      </c>
      <c r="C362" s="2" t="n">
        <v>52</v>
      </c>
      <c r="D362" s="2" t="n">
        <v>12</v>
      </c>
      <c r="E362" s="2" t="n">
        <v>4</v>
      </c>
      <c r="F362" s="2" t="inlineStr">
        <is>
          <t>Winter</t>
        </is>
      </c>
      <c r="G362" s="2" t="inlineStr">
        <is>
          <t>Post-Holiday</t>
        </is>
      </c>
      <c r="H362" s="3">
        <f>1829.56</f>
        <v/>
      </c>
      <c r="I362" s="3" t="n">
        <v>24672</v>
      </c>
      <c r="J362" s="3" t="n">
        <v>1928</v>
      </c>
      <c r="K362" s="3">
        <f>ROUND(C362/I362*100,2)</f>
        <v/>
      </c>
      <c r="L362" s="3" t="n">
        <v>154</v>
      </c>
      <c r="M362" s="3" t="n">
        <v>105</v>
      </c>
      <c r="N362" s="3" t="n">
        <v>259</v>
      </c>
      <c r="O362" s="3">
        <f>ROUND(N362/J362*100,2)</f>
        <v/>
      </c>
      <c r="P362" s="3">
        <f>15036.84</f>
        <v/>
      </c>
      <c r="Q362" s="3">
        <f>ROUND(P362/H362,2)</f>
        <v/>
      </c>
      <c r="R362" s="3">
        <f>IF(K362&gt;0,ROUND(H362/K362,2),999)</f>
        <v/>
      </c>
      <c r="S362" s="3" t="inlineStr">
        <is>
          <t>Meal Kit</t>
        </is>
      </c>
      <c r="T362" s="3" t="n">
        <v>642</v>
      </c>
      <c r="U362" s="3" t="n">
        <v>224</v>
      </c>
      <c r="V362" s="3" t="n">
        <v>9008</v>
      </c>
      <c r="W362" s="2" t="inlineStr">
        <is>
          <t>New TikTok creative launched, high initial impression share.</t>
        </is>
      </c>
    </row>
    <row r="363">
      <c r="A363" s="4" t="inlineStr">
        <is>
          <t>2024-12-27</t>
        </is>
      </c>
      <c r="B363" s="4" t="inlineStr">
        <is>
          <t>Friday</t>
        </is>
      </c>
      <c r="C363" s="4" t="n">
        <v>52</v>
      </c>
      <c r="D363" s="4" t="n">
        <v>12</v>
      </c>
      <c r="E363" s="4" t="n">
        <v>4</v>
      </c>
      <c r="F363" s="4" t="inlineStr">
        <is>
          <t>Winter</t>
        </is>
      </c>
      <c r="G363" s="4" t="inlineStr">
        <is>
          <t>Post-Holiday</t>
        </is>
      </c>
      <c r="H363" s="5">
        <f>1774.25</f>
        <v/>
      </c>
      <c r="I363" s="5" t="n">
        <v>15767</v>
      </c>
      <c r="J363" s="5" t="n">
        <v>455</v>
      </c>
      <c r="K363" s="5">
        <f>ROUND(C363/I363*100,2)</f>
        <v/>
      </c>
      <c r="L363" s="5" t="n">
        <v>29</v>
      </c>
      <c r="M363" s="5" t="n">
        <v>24</v>
      </c>
      <c r="N363" s="5" t="n">
        <v>53</v>
      </c>
      <c r="O363" s="5">
        <f>ROUND(N363/J363*100,2)</f>
        <v/>
      </c>
      <c r="P363" s="5">
        <f>2505.50</f>
        <v/>
      </c>
      <c r="Q363" s="5">
        <f>ROUND(P363/H363,2)</f>
        <v/>
      </c>
      <c r="R363" s="5">
        <f>IF(K363&gt;0,ROUND(H363/K363,2),999)</f>
        <v/>
      </c>
      <c r="S363" s="5" t="inlineStr">
        <is>
          <t>Pantry</t>
        </is>
      </c>
      <c r="T363" s="5" t="n">
        <v>223</v>
      </c>
      <c r="U363" s="5" t="n">
        <v>71</v>
      </c>
      <c r="V363" s="5" t="n">
        <v>2644</v>
      </c>
      <c r="W363" s="4" t="inlineStr">
        <is>
          <t>Display network efficiency improved after audience refinement.</t>
        </is>
      </c>
    </row>
    <row r="364">
      <c r="A364" s="2" t="inlineStr">
        <is>
          <t>2024-12-28</t>
        </is>
      </c>
      <c r="B364" s="2" t="inlineStr">
        <is>
          <t>Saturday</t>
        </is>
      </c>
      <c r="C364" s="2" t="n">
        <v>52</v>
      </c>
      <c r="D364" s="2" t="n">
        <v>12</v>
      </c>
      <c r="E364" s="2" t="n">
        <v>4</v>
      </c>
      <c r="F364" s="2" t="inlineStr">
        <is>
          <t>Winter</t>
        </is>
      </c>
      <c r="G364" s="2" t="inlineStr">
        <is>
          <t>Post-Holiday</t>
        </is>
      </c>
      <c r="H364" s="3">
        <f>1296.21</f>
        <v/>
      </c>
      <c r="I364" s="3" t="n">
        <v>11502</v>
      </c>
      <c r="J364" s="3" t="n">
        <v>901</v>
      </c>
      <c r="K364" s="3">
        <f>ROUND(C364/I364*100,2)</f>
        <v/>
      </c>
      <c r="L364" s="3" t="n">
        <v>63</v>
      </c>
      <c r="M364" s="3" t="n">
        <v>48</v>
      </c>
      <c r="N364" s="3" t="n">
        <v>111</v>
      </c>
      <c r="O364" s="3">
        <f>ROUND(N364/J364*100,2)</f>
        <v/>
      </c>
      <c r="P364" s="3">
        <f>5515.78</f>
        <v/>
      </c>
      <c r="Q364" s="3">
        <f>ROUND(P364/H364,2)</f>
        <v/>
      </c>
      <c r="R364" s="3">
        <f>IF(K364&gt;0,ROUND(H364/K364,2),999)</f>
        <v/>
      </c>
      <c r="S364" s="3" t="inlineStr">
        <is>
          <t>Meal Kit</t>
        </is>
      </c>
      <c r="T364" s="3" t="n">
        <v>635</v>
      </c>
      <c r="U364" s="3" t="n">
        <v>196</v>
      </c>
      <c r="V364" s="3" t="n">
        <v>1231</v>
      </c>
      <c r="W364" s="2" t="inlineStr">
        <is>
          <t>Budget reallocation to top-performing Google Shopping ads.</t>
        </is>
      </c>
    </row>
    <row r="365">
      <c r="A365" s="4" t="inlineStr">
        <is>
          <t>2024-12-29</t>
        </is>
      </c>
      <c r="B365" s="4" t="inlineStr">
        <is>
          <t>Sunday</t>
        </is>
      </c>
      <c r="C365" s="4" t="n">
        <v>52</v>
      </c>
      <c r="D365" s="4" t="n">
        <v>12</v>
      </c>
      <c r="E365" s="4" t="n">
        <v>4</v>
      </c>
      <c r="F365" s="4" t="inlineStr">
        <is>
          <t>Winter</t>
        </is>
      </c>
      <c r="G365" s="4" t="inlineStr">
        <is>
          <t>Post-Holiday</t>
        </is>
      </c>
      <c r="H365" s="5">
        <f>1473.81</f>
        <v/>
      </c>
      <c r="I365" s="5" t="n">
        <v>19170</v>
      </c>
      <c r="J365" s="5" t="n">
        <v>911</v>
      </c>
      <c r="K365" s="5">
        <f>ROUND(C365/I365*100,2)</f>
        <v/>
      </c>
      <c r="L365" s="5" t="n">
        <v>64</v>
      </c>
      <c r="M365" s="5" t="n">
        <v>49</v>
      </c>
      <c r="N365" s="5" t="n">
        <v>113</v>
      </c>
      <c r="O365" s="5">
        <f>ROUND(N365/J365*100,2)</f>
        <v/>
      </c>
      <c r="P365" s="5">
        <f>6937.38</f>
        <v/>
      </c>
      <c r="Q365" s="5">
        <f>ROUND(P365/H365,2)</f>
        <v/>
      </c>
      <c r="R365" s="5">
        <f>IF(K365&gt;0,ROUND(H365/K365,2),999)</f>
        <v/>
      </c>
      <c r="S365" s="5" t="inlineStr">
        <is>
          <t>Pantry</t>
        </is>
      </c>
      <c r="T365" s="5" t="n">
        <v>584</v>
      </c>
      <c r="U365" s="5" t="n">
        <v>89</v>
      </c>
      <c r="V365" s="5" t="n">
        <v>6997</v>
      </c>
      <c r="W365" s="4" t="inlineStr">
        <is>
          <t>Bundle promotion resonating with families segment.</t>
        </is>
      </c>
    </row>
    <row r="366">
      <c r="A366" s="2" t="inlineStr">
        <is>
          <t>2024-12-30</t>
        </is>
      </c>
      <c r="B366" s="2" t="inlineStr">
        <is>
          <t>Monday</t>
        </is>
      </c>
      <c r="C366" s="2" t="n">
        <v>1</v>
      </c>
      <c r="D366" s="2" t="n">
        <v>12</v>
      </c>
      <c r="E366" s="2" t="n">
        <v>4</v>
      </c>
      <c r="F366" s="2" t="inlineStr">
        <is>
          <t>Winter</t>
        </is>
      </c>
      <c r="G366" s="2" t="inlineStr">
        <is>
          <t>Post-Holiday</t>
        </is>
      </c>
      <c r="H366" s="3">
        <f>1680.23</f>
        <v/>
      </c>
      <c r="I366" s="3" t="n">
        <v>14656</v>
      </c>
      <c r="J366" s="3" t="n">
        <v>616</v>
      </c>
      <c r="K366" s="3">
        <f>ROUND(C366/I366*100,2)</f>
        <v/>
      </c>
      <c r="L366" s="3" t="n">
        <v>45</v>
      </c>
      <c r="M366" s="3" t="n">
        <v>33</v>
      </c>
      <c r="N366" s="3" t="n">
        <v>78</v>
      </c>
      <c r="O366" s="3">
        <f>ROUND(N366/J366*100,2)</f>
        <v/>
      </c>
      <c r="P366" s="3">
        <f>3651.00</f>
        <v/>
      </c>
      <c r="Q366" s="3">
        <f>ROUND(P366/H366,2)</f>
        <v/>
      </c>
      <c r="R366" s="3">
        <f>IF(K366&gt;0,ROUND(H366/K366,2),999)</f>
        <v/>
      </c>
      <c r="S366" s="3" t="inlineStr">
        <is>
          <t>Meal Kit</t>
        </is>
      </c>
      <c r="T366" s="3" t="n">
        <v>492</v>
      </c>
      <c r="U366" s="3" t="n">
        <v>41</v>
      </c>
      <c r="V366" s="3" t="n">
        <v>3642</v>
      </c>
      <c r="W366" s="2" t="inlineStr">
        <is>
          <t>Strong Friday engagement, peak subscription signups.</t>
        </is>
      </c>
    </row>
    <row r="367">
      <c r="A367" s="4" t="inlineStr">
        <is>
          <t>2024-12-31</t>
        </is>
      </c>
      <c r="B367" s="4" t="inlineStr">
        <is>
          <t>Tuesday</t>
        </is>
      </c>
      <c r="C367" s="4" t="n">
        <v>1</v>
      </c>
      <c r="D367" s="4" t="n">
        <v>12</v>
      </c>
      <c r="E367" s="4" t="n">
        <v>4</v>
      </c>
      <c r="F367" s="4" t="inlineStr">
        <is>
          <t>Winter</t>
        </is>
      </c>
      <c r="G367" s="4" t="inlineStr">
        <is>
          <t>Post-Holiday</t>
        </is>
      </c>
      <c r="H367" s="5">
        <f>1658.55</f>
        <v/>
      </c>
      <c r="I367" s="5" t="n">
        <v>18593</v>
      </c>
      <c r="J367" s="5" t="n">
        <v>1056</v>
      </c>
      <c r="K367" s="5">
        <f>ROUND(C367/I367*100,2)</f>
        <v/>
      </c>
      <c r="L367" s="5" t="n">
        <v>85</v>
      </c>
      <c r="M367" s="5" t="n">
        <v>47</v>
      </c>
      <c r="N367" s="5" t="n">
        <v>132</v>
      </c>
      <c r="O367" s="5">
        <f>ROUND(N367/J367*100,2)</f>
        <v/>
      </c>
      <c r="P367" s="5">
        <f>8552.67</f>
        <v/>
      </c>
      <c r="Q367" s="5">
        <f>ROUND(P367/H367,2)</f>
        <v/>
      </c>
      <c r="R367" s="5">
        <f>IF(K367&gt;0,ROUND(H367/K367,2),999)</f>
        <v/>
      </c>
      <c r="S367" s="5" t="inlineStr">
        <is>
          <t>Meal Kit</t>
        </is>
      </c>
      <c r="T367" s="5" t="n">
        <v>502</v>
      </c>
      <c r="U367" s="5" t="n">
        <v>127</v>
      </c>
      <c r="V367" s="5" t="n">
        <v>5202</v>
      </c>
      <c r="W367" s="4" t="inlineStr">
        <is>
          <t>YouTube pre-roll tested with product demo creatives.</t>
        </is>
      </c>
    </row>
    <row r="368">
      <c r="A368" t="inlineStr">
        <is>
          <t>TOTAL</t>
        </is>
      </c>
      <c r="H368">
        <f>SUM(H2:H367)</f>
        <v/>
      </c>
      <c r="I368">
        <f>SUM(I2:I367)</f>
        <v/>
      </c>
      <c r="J368">
        <f>SUM(J2:J367)</f>
        <v/>
      </c>
      <c r="K368">
        <f>ROUND(AVERAGE(K2:K367),2)</f>
        <v/>
      </c>
      <c r="L368">
        <f>SUM(K2:K367)</f>
        <v/>
      </c>
      <c r="M368">
        <f>SUM(L2:L367)</f>
        <v/>
      </c>
      <c r="N368">
        <f>SUM(M2:M367)</f>
        <v/>
      </c>
      <c r="O368">
        <f>ROUND(AVERAGE(N2:N367),2)</f>
        <v/>
      </c>
      <c r="P368">
        <f>SUM(P2:P367)</f>
        <v/>
      </c>
      <c r="Q368">
        <f>ROUND(Q2:Q367/H368,2)</f>
        <v/>
      </c>
      <c r="R368">
        <f>ROUND(H368/K368,2)</f>
        <v/>
      </c>
      <c r="T368">
        <f>SUM(S2:S367)</f>
        <v/>
      </c>
      <c r="U368">
        <f>SUM(T2:T367)</f>
        <v/>
      </c>
      <c r="V368">
        <f>SUM(U2:U367)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5" customWidth="1" min="18" max="18"/>
    <col width="40" customWidth="1" min="19" max="19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Spend (CHF)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 (%)</t>
        </is>
      </c>
      <c r="G1" s="1" t="inlineStr">
        <is>
          <t>New Subscriptions</t>
        </is>
      </c>
      <c r="H1" s="1" t="inlineStr">
        <is>
          <t>CVR (%)</t>
        </is>
      </c>
      <c r="I1" s="1" t="inlineStr">
        <is>
          <t>Revenue (CHF)</t>
        </is>
      </c>
      <c r="J1" s="1" t="inlineStr">
        <is>
          <t>ROAS</t>
        </is>
      </c>
      <c r="K1" s="1" t="inlineStr">
        <is>
          <t>CPA (CHF)</t>
        </is>
      </c>
      <c r="L1" s="1" t="inlineStr">
        <is>
          <t>Budget Share (%)</t>
        </is>
      </c>
      <c r="M1" s="1" t="inlineStr">
        <is>
          <t>vs Prior Month ROAS (%)</t>
        </is>
      </c>
      <c r="N1" s="1" t="inlineStr">
        <is>
          <t>vs Target ROAS</t>
        </is>
      </c>
      <c r="O1" s="1" t="inlineStr">
        <is>
          <t>Audience Reach</t>
        </is>
      </c>
      <c r="P1" s="1" t="inlineStr">
        <is>
          <t>Frequency (social)</t>
        </is>
      </c>
      <c r="Q1" s="1" t="inlineStr">
        <is>
          <t>New Creatives Launched (#)</t>
        </is>
      </c>
      <c r="R1" s="1" t="inlineStr">
        <is>
          <t>Top Performing Creative Theme</t>
        </is>
      </c>
      <c r="S1" s="1" t="inlineStr">
        <is>
          <t>Notes</t>
        </is>
      </c>
    </row>
    <row r="2">
      <c r="A2" s="2" t="inlineStr">
        <is>
          <t>Jan</t>
        </is>
      </c>
      <c r="B2" s="2" t="inlineStr">
        <is>
          <t>Google Brand Search</t>
        </is>
      </c>
      <c r="C2" s="3">
        <f>12550.68</f>
        <v/>
      </c>
      <c r="D2" s="3" t="n">
        <v>171973</v>
      </c>
      <c r="E2" s="3" t="n">
        <v>9142</v>
      </c>
      <c r="F2" s="3">
        <f>ROUND(E2/D2*100,2)</f>
        <v/>
      </c>
      <c r="G2" s="3" t="n">
        <v>896</v>
      </c>
      <c r="H2" s="3">
        <f>ROUND(G2/E2*100,2)</f>
        <v/>
      </c>
      <c r="I2" s="3">
        <f>53430.04</f>
        <v/>
      </c>
      <c r="J2" s="3">
        <f>ROUND(I2/C2,2)</f>
        <v/>
      </c>
      <c r="K2" s="3">
        <f>IF(G2&gt;0,ROUND(C2/G2,2),999)</f>
        <v/>
      </c>
      <c r="L2" s="3">
        <f>ROUND(C2/45000*100,2)</f>
        <v/>
      </c>
      <c r="M2" s="3">
        <f>ROUND(0.3442101828365493,1)</f>
        <v/>
      </c>
      <c r="N2" s="2" t="inlineStr">
        <is>
          <t>Y</t>
        </is>
      </c>
      <c r="O2" s="3" t="n">
        <v>103835</v>
      </c>
      <c r="P2" s="3">
        <f>ROUND(D2/O2,2)</f>
        <v/>
      </c>
      <c r="Q2" s="3" t="n">
        <v>0</v>
      </c>
      <c r="R2" s="2" t="inlineStr">
        <is>
          <t>Lifestyle</t>
        </is>
      </c>
      <c r="S2" s="2" t="inlineStr">
        <is>
          <t>Bundle promotion drove 23% lift in AOV vs non-promo period.</t>
        </is>
      </c>
    </row>
    <row r="3">
      <c r="A3" s="4" t="inlineStr">
        <is>
          <t>Jan</t>
        </is>
      </c>
      <c r="B3" s="4" t="inlineStr">
        <is>
          <t>Google Generic Search</t>
        </is>
      </c>
      <c r="C3" s="5">
        <f>10493.51</f>
        <v/>
      </c>
      <c r="D3" s="5" t="n">
        <v>98668</v>
      </c>
      <c r="E3" s="5" t="n">
        <v>2515</v>
      </c>
      <c r="F3" s="5">
        <f>ROUND(E3/D3*100,2)</f>
        <v/>
      </c>
      <c r="G3" s="5" t="n">
        <v>147</v>
      </c>
      <c r="H3" s="5">
        <f>ROUND(G3/E3*100,2)</f>
        <v/>
      </c>
      <c r="I3" s="5">
        <f>40984.55</f>
        <v/>
      </c>
      <c r="J3" s="5">
        <f>ROUND(I3/C3,2)</f>
        <v/>
      </c>
      <c r="K3" s="5">
        <f>IF(G3&gt;0,ROUND(C3/G3,2),999)</f>
        <v/>
      </c>
      <c r="L3" s="5">
        <f>ROUND(C3/45000*100,2)</f>
        <v/>
      </c>
      <c r="M3" s="5">
        <f>ROUND(2.5614117189667196,1)</f>
        <v/>
      </c>
      <c r="N3" s="4" t="inlineStr">
        <is>
          <t>N</t>
        </is>
      </c>
      <c r="O3" s="5" t="n">
        <v>39641</v>
      </c>
      <c r="P3" s="5">
        <f>ROUND(D3/O3,2)</f>
        <v/>
      </c>
      <c r="Q3" s="5" t="n">
        <v>3</v>
      </c>
      <c r="R3" s="4" t="inlineStr">
        <is>
          <t>UGC</t>
        </is>
      </c>
      <c r="S3" s="4" t="inlineStr">
        <is>
          <t>Bundle promotion drove 23% lift in AOV vs non-promo period.</t>
        </is>
      </c>
    </row>
    <row r="4">
      <c r="A4" s="2" t="inlineStr">
        <is>
          <t>Jan</t>
        </is>
      </c>
      <c r="B4" s="2" t="inlineStr">
        <is>
          <t>Google Shopping</t>
        </is>
      </c>
      <c r="C4" s="3">
        <f>9493.36</f>
        <v/>
      </c>
      <c r="D4" s="3" t="n">
        <v>111687</v>
      </c>
      <c r="E4" s="3" t="n">
        <v>5399</v>
      </c>
      <c r="F4" s="3">
        <f>ROUND(E4/D4*100,2)</f>
        <v/>
      </c>
      <c r="G4" s="3" t="n">
        <v>309</v>
      </c>
      <c r="H4" s="3">
        <f>ROUND(G4/E4*100,2)</f>
        <v/>
      </c>
      <c r="I4" s="3">
        <f>34393.28</f>
        <v/>
      </c>
      <c r="J4" s="3">
        <f>ROUND(I4/C4,2)</f>
        <v/>
      </c>
      <c r="K4" s="3">
        <f>IF(G4&gt;0,ROUND(C4/G4,2),999)</f>
        <v/>
      </c>
      <c r="L4" s="3">
        <f>ROUND(C4/45000*100,2)</f>
        <v/>
      </c>
      <c r="M4" s="3">
        <f>ROUND(3.740063508984967,1)</f>
        <v/>
      </c>
      <c r="N4" s="2" t="inlineStr">
        <is>
          <t>N</t>
        </is>
      </c>
      <c r="O4" s="3" t="n">
        <v>54063</v>
      </c>
      <c r="P4" s="3">
        <f>ROUND(D4/O4,2)</f>
        <v/>
      </c>
      <c r="Q4" s="3" t="n">
        <v>2</v>
      </c>
      <c r="R4" s="2" t="inlineStr">
        <is>
          <t>Seasonal</t>
        </is>
      </c>
      <c r="S4" s="2" t="inlineStr">
        <is>
          <t>Weekend spend allocation improved conversion rate by 8%.</t>
        </is>
      </c>
    </row>
    <row r="5">
      <c r="A5" s="4" t="inlineStr">
        <is>
          <t>Jan</t>
        </is>
      </c>
      <c r="B5" s="4" t="inlineStr">
        <is>
          <t>Meta Prospecting</t>
        </is>
      </c>
      <c r="C5" s="5">
        <f>3470.74</f>
        <v/>
      </c>
      <c r="D5" s="5" t="n">
        <v>63506</v>
      </c>
      <c r="E5" s="5" t="n">
        <v>2534</v>
      </c>
      <c r="F5" s="5">
        <f>ROUND(E5/D5*100,2)</f>
        <v/>
      </c>
      <c r="G5" s="5" t="n">
        <v>108</v>
      </c>
      <c r="H5" s="5">
        <f>ROUND(G5/E5*100,2)</f>
        <v/>
      </c>
      <c r="I5" s="5">
        <f>8748.35</f>
        <v/>
      </c>
      <c r="J5" s="5">
        <f>ROUND(I5/C5,2)</f>
        <v/>
      </c>
      <c r="K5" s="5">
        <f>IF(G5&gt;0,ROUND(C5/G5,2),999)</f>
        <v/>
      </c>
      <c r="L5" s="5">
        <f>ROUND(C5/45000*100,2)</f>
        <v/>
      </c>
      <c r="M5" s="5">
        <f>ROUND(5.034784604085248,1)</f>
        <v/>
      </c>
      <c r="N5" s="4" t="inlineStr">
        <is>
          <t>N</t>
        </is>
      </c>
      <c r="O5" s="5" t="n">
        <v>38119</v>
      </c>
      <c r="P5" s="5">
        <f>ROUND(D5/O5,2)</f>
        <v/>
      </c>
      <c r="Q5" s="5" t="n">
        <v>0</v>
      </c>
      <c r="R5" s="4" t="inlineStr">
        <is>
          <t>UGC</t>
        </is>
      </c>
      <c r="S5" s="4" t="inlineStr">
        <is>
          <t>Post-purchase follow-up ads reduced first-month churn by 7%.</t>
        </is>
      </c>
    </row>
    <row r="6">
      <c r="A6" s="2" t="inlineStr">
        <is>
          <t>Jan</t>
        </is>
      </c>
      <c r="B6" s="2" t="inlineStr">
        <is>
          <t>Meta Retargeting</t>
        </is>
      </c>
      <c r="C6" s="3">
        <f>3277.69</f>
        <v/>
      </c>
      <c r="D6" s="3" t="n">
        <v>30976</v>
      </c>
      <c r="E6" s="3" t="n">
        <v>714</v>
      </c>
      <c r="F6" s="3">
        <f>ROUND(E6/D6*100,2)</f>
        <v/>
      </c>
      <c r="G6" s="3" t="n">
        <v>39</v>
      </c>
      <c r="H6" s="3">
        <f>ROUND(G6/E6*100,2)</f>
        <v/>
      </c>
      <c r="I6" s="3">
        <f>9623.04</f>
        <v/>
      </c>
      <c r="J6" s="3">
        <f>ROUND(I6/C6,2)</f>
        <v/>
      </c>
      <c r="K6" s="3">
        <f>IF(G6&gt;0,ROUND(C6/G6,2),999)</f>
        <v/>
      </c>
      <c r="L6" s="3">
        <f>ROUND(C6/45000*100,2)</f>
        <v/>
      </c>
      <c r="M6" s="3">
        <f>ROUND(0.6994310300151841,1)</f>
        <v/>
      </c>
      <c r="N6" s="2" t="inlineStr">
        <is>
          <t>N</t>
        </is>
      </c>
      <c r="O6" s="3" t="n">
        <v>18097</v>
      </c>
      <c r="P6" s="3">
        <f>ROUND(D6/O6,2)</f>
        <v/>
      </c>
      <c r="Q6" s="3" t="n">
        <v>3</v>
      </c>
      <c r="R6" s="2" t="inlineStr">
        <is>
          <t>Product Demo</t>
        </is>
      </c>
      <c r="S6" s="2" t="inlineStr">
        <is>
          <t>Strong CTR from geo-targeted campaigns. ROAS within target. Consider expanding budget.</t>
        </is>
      </c>
    </row>
    <row r="7">
      <c r="A7" s="4" t="inlineStr">
        <is>
          <t>Jan</t>
        </is>
      </c>
      <c r="B7" s="4" t="inlineStr">
        <is>
          <t>TikTok</t>
        </is>
      </c>
      <c r="C7" s="5">
        <f>2395.70</f>
        <v/>
      </c>
      <c r="D7" s="5" t="n">
        <v>24353</v>
      </c>
      <c r="E7" s="5" t="n">
        <v>429</v>
      </c>
      <c r="F7" s="5">
        <f>ROUND(E7/D7*100,2)</f>
        <v/>
      </c>
      <c r="G7" s="5" t="n">
        <v>39</v>
      </c>
      <c r="H7" s="5">
        <f>ROUND(G7/E7*100,2)</f>
        <v/>
      </c>
      <c r="I7" s="5">
        <f>7624.98</f>
        <v/>
      </c>
      <c r="J7" s="5">
        <f>ROUND(I7/C7,2)</f>
        <v/>
      </c>
      <c r="K7" s="5">
        <f>IF(G7&gt;0,ROUND(C7/G7,2),999)</f>
        <v/>
      </c>
      <c r="L7" s="5">
        <f>ROUND(C7/45000*100,2)</f>
        <v/>
      </c>
      <c r="M7" s="5">
        <f>ROUND(1.8096722108412029,1)</f>
        <v/>
      </c>
      <c r="N7" s="4" t="inlineStr">
        <is>
          <t>N</t>
        </is>
      </c>
      <c r="O7" s="5" t="n">
        <v>9556</v>
      </c>
      <c r="P7" s="5">
        <f>ROUND(D7/O7,2)</f>
        <v/>
      </c>
      <c r="Q7" s="5" t="n">
        <v>3</v>
      </c>
      <c r="R7" s="4" t="inlineStr">
        <is>
          <t>UGC</t>
        </is>
      </c>
      <c r="S7" s="4" t="inlineStr">
        <is>
          <t>Competitor price drop required messaging adjustment; maintained margin.</t>
        </is>
      </c>
    </row>
    <row r="8">
      <c r="A8" s="2" t="inlineStr">
        <is>
          <t>Jan</t>
        </is>
      </c>
      <c r="B8" s="2" t="inlineStr">
        <is>
          <t>YouTube</t>
        </is>
      </c>
      <c r="C8" s="3">
        <f>1279.04</f>
        <v/>
      </c>
      <c r="D8" s="3" t="n">
        <v>15686</v>
      </c>
      <c r="E8" s="3" t="n">
        <v>1100</v>
      </c>
      <c r="F8" s="3">
        <f>ROUND(E8/D8*100,2)</f>
        <v/>
      </c>
      <c r="G8" s="3" t="n">
        <v>66</v>
      </c>
      <c r="H8" s="3">
        <f>ROUND(G8/E8*100,2)</f>
        <v/>
      </c>
      <c r="I8" s="3">
        <f>4493.71</f>
        <v/>
      </c>
      <c r="J8" s="3">
        <f>ROUND(I8/C8,2)</f>
        <v/>
      </c>
      <c r="K8" s="3">
        <f>IF(G8&gt;0,ROUND(C8/G8,2),999)</f>
        <v/>
      </c>
      <c r="L8" s="3">
        <f>ROUND(C8/45000*100,2)</f>
        <v/>
      </c>
      <c r="M8" s="3">
        <f>ROUND(-1.0685055389826095,1)</f>
        <v/>
      </c>
      <c r="N8" s="2" t="inlineStr">
        <is>
          <t>N</t>
        </is>
      </c>
      <c r="O8" s="3" t="n">
        <v>7654</v>
      </c>
      <c r="P8" s="3">
        <f>ROUND(D8/O8,2)</f>
        <v/>
      </c>
      <c r="Q8" s="3" t="n">
        <v>2</v>
      </c>
      <c r="R8" s="2" t="inlineStr">
        <is>
          <t>Lifestyle</t>
        </is>
      </c>
      <c r="S8" s="2" t="inlineStr">
        <is>
          <t>Frequency capping adjustment reduced ad fatigue, improved CTR by 6%.</t>
        </is>
      </c>
    </row>
    <row r="9">
      <c r="A9" s="4" t="inlineStr">
        <is>
          <t>Jan</t>
        </is>
      </c>
      <c r="B9" s="4" t="inlineStr">
        <is>
          <t>Display/Retargeting</t>
        </is>
      </c>
      <c r="C9" s="5">
        <f>833.25</f>
        <v/>
      </c>
      <c r="D9" s="5" t="n">
        <v>15500</v>
      </c>
      <c r="E9" s="5" t="n">
        <v>506</v>
      </c>
      <c r="F9" s="5">
        <f>ROUND(E9/D9*100,2)</f>
        <v/>
      </c>
      <c r="G9" s="5" t="n">
        <v>48</v>
      </c>
      <c r="H9" s="5">
        <f>ROUND(G9/E9*100,2)</f>
        <v/>
      </c>
      <c r="I9" s="5">
        <f>2447.55</f>
        <v/>
      </c>
      <c r="J9" s="5">
        <f>ROUND(I9/C9,2)</f>
        <v/>
      </c>
      <c r="K9" s="5">
        <f>IF(G9&gt;0,ROUND(C9/G9,2),999)</f>
        <v/>
      </c>
      <c r="L9" s="5">
        <f>ROUND(C9/45000*100,2)</f>
        <v/>
      </c>
      <c r="M9" s="5">
        <f>ROUND(-2.1351385031002343,1)</f>
        <v/>
      </c>
      <c r="N9" s="4" t="inlineStr">
        <is>
          <t>N</t>
        </is>
      </c>
      <c r="O9" s="5" t="n">
        <v>9118</v>
      </c>
      <c r="P9" s="5">
        <f>ROUND(D9/O9,2)</f>
        <v/>
      </c>
      <c r="Q9" s="5" t="n">
        <v>1</v>
      </c>
      <c r="R9" s="4" t="inlineStr">
        <is>
          <t>Seasonal</t>
        </is>
      </c>
      <c r="S9" s="4" t="inlineStr">
        <is>
          <t>Retargeting pixel optimization refined audience, improved ROAS to 4.8x.</t>
        </is>
      </c>
    </row>
    <row r="10">
      <c r="A10" s="2" t="inlineStr">
        <is>
          <t>Feb</t>
        </is>
      </c>
      <c r="B10" s="2" t="inlineStr">
        <is>
          <t>Google Brand Search</t>
        </is>
      </c>
      <c r="C10" s="3">
        <f>14453.93</f>
        <v/>
      </c>
      <c r="D10" s="3" t="n">
        <v>286347</v>
      </c>
      <c r="E10" s="3" t="n">
        <v>22615</v>
      </c>
      <c r="F10" s="3">
        <f>ROUND(E10/D10*100,2)</f>
        <v/>
      </c>
      <c r="G10" s="3" t="n">
        <v>1124</v>
      </c>
      <c r="H10" s="3">
        <f>ROUND(G10/E10*100,2)</f>
        <v/>
      </c>
      <c r="I10" s="3">
        <f>61880.78</f>
        <v/>
      </c>
      <c r="J10" s="3">
        <f>ROUND(I10/C10,2)</f>
        <v/>
      </c>
      <c r="K10" s="3">
        <f>IF(G10&gt;0,ROUND(C10/G10,2),999)</f>
        <v/>
      </c>
      <c r="L10" s="3">
        <f>ROUND(C10/45000*100,2)</f>
        <v/>
      </c>
      <c r="M10" s="3">
        <f>ROUND(1.9238294277537538,1)</f>
        <v/>
      </c>
      <c r="N10" s="2" t="inlineStr">
        <is>
          <t>Y</t>
        </is>
      </c>
      <c r="O10" s="3" t="n">
        <v>88854</v>
      </c>
      <c r="P10" s="3">
        <f>ROUND(D10/O10,2)</f>
        <v/>
      </c>
      <c r="Q10" s="3" t="n">
        <v>0</v>
      </c>
      <c r="R10" s="2" t="inlineStr">
        <is>
          <t>Product Demo</t>
        </is>
      </c>
      <c r="S10" s="2" t="inlineStr">
        <is>
          <t>Email nurture sequence integrated with paid ads improved retention by 9%.</t>
        </is>
      </c>
    </row>
    <row r="11">
      <c r="A11" s="4" t="inlineStr">
        <is>
          <t>Feb</t>
        </is>
      </c>
      <c r="B11" s="4" t="inlineStr">
        <is>
          <t>Google Generic Search</t>
        </is>
      </c>
      <c r="C11" s="5">
        <f>10301.82</f>
        <v/>
      </c>
      <c r="D11" s="5" t="n">
        <v>111313</v>
      </c>
      <c r="E11" s="5" t="n">
        <v>2192</v>
      </c>
      <c r="F11" s="5">
        <f>ROUND(E11/D11*100,2)</f>
        <v/>
      </c>
      <c r="G11" s="5" t="n">
        <v>187</v>
      </c>
      <c r="H11" s="5">
        <f>ROUND(G11/E11*100,2)</f>
        <v/>
      </c>
      <c r="I11" s="5">
        <f>37068.88</f>
        <v/>
      </c>
      <c r="J11" s="5">
        <f>ROUND(I11/C11,2)</f>
        <v/>
      </c>
      <c r="K11" s="5">
        <f>IF(G11&gt;0,ROUND(C11/G11,2),999)</f>
        <v/>
      </c>
      <c r="L11" s="5">
        <f>ROUND(C11/45000*100,2)</f>
        <v/>
      </c>
      <c r="M11" s="5">
        <f>ROUND(4.001222550869958,1)</f>
        <v/>
      </c>
      <c r="N11" s="4" t="inlineStr">
        <is>
          <t>N</t>
        </is>
      </c>
      <c r="O11" s="5" t="n">
        <v>77043</v>
      </c>
      <c r="P11" s="5">
        <f>ROUND(D11/O11,2)</f>
        <v/>
      </c>
      <c r="Q11" s="5" t="n">
        <v>3</v>
      </c>
      <c r="R11" s="4" t="inlineStr">
        <is>
          <t>Seasonal</t>
        </is>
      </c>
      <c r="S11" s="4" t="inlineStr">
        <is>
          <t>Retargeting pixel optimization refined audience, improved ROAS to 4.8x.</t>
        </is>
      </c>
    </row>
    <row r="12">
      <c r="A12" s="2" t="inlineStr">
        <is>
          <t>Feb</t>
        </is>
      </c>
      <c r="B12" s="2" t="inlineStr">
        <is>
          <t>Google Shopping</t>
        </is>
      </c>
      <c r="C12" s="3">
        <f>8986.37</f>
        <v/>
      </c>
      <c r="D12" s="3" t="n">
        <v>155084</v>
      </c>
      <c r="E12" s="3" t="n">
        <v>11788</v>
      </c>
      <c r="F12" s="3">
        <f>ROUND(E12/D12*100,2)</f>
        <v/>
      </c>
      <c r="G12" s="3" t="n">
        <v>951</v>
      </c>
      <c r="H12" s="3">
        <f>ROUND(G12/E12*100,2)</f>
        <v/>
      </c>
      <c r="I12" s="3">
        <f>32342.08</f>
        <v/>
      </c>
      <c r="J12" s="3">
        <f>ROUND(I12/C12,2)</f>
        <v/>
      </c>
      <c r="K12" s="3">
        <f>IF(G12&gt;0,ROUND(C12/G12,2),999)</f>
        <v/>
      </c>
      <c r="L12" s="3">
        <f>ROUND(C12/45000*100,2)</f>
        <v/>
      </c>
      <c r="M12" s="3">
        <f>ROUND(-4.647304019050965,1)</f>
        <v/>
      </c>
      <c r="N12" s="2" t="inlineStr">
        <is>
          <t>N</t>
        </is>
      </c>
      <c r="O12" s="3" t="n">
        <v>49086</v>
      </c>
      <c r="P12" s="3">
        <f>ROUND(D12/O12,2)</f>
        <v/>
      </c>
      <c r="Q12" s="3" t="n">
        <v>3</v>
      </c>
      <c r="R12" s="2" t="inlineStr">
        <is>
          <t>Promotional</t>
        </is>
      </c>
      <c r="S12" s="2" t="inlineStr">
        <is>
          <t>Email nurture sequence integrated with paid ads improved retention by 9%.</t>
        </is>
      </c>
    </row>
    <row r="13">
      <c r="A13" s="4" t="inlineStr">
        <is>
          <t>Feb</t>
        </is>
      </c>
      <c r="B13" s="4" t="inlineStr">
        <is>
          <t>Meta Prospecting</t>
        </is>
      </c>
      <c r="C13" s="5">
        <f>3641.23</f>
        <v/>
      </c>
      <c r="D13" s="5" t="n">
        <v>68284</v>
      </c>
      <c r="E13" s="5" t="n">
        <v>3190</v>
      </c>
      <c r="F13" s="5">
        <f>ROUND(E13/D13*100,2)</f>
        <v/>
      </c>
      <c r="G13" s="5" t="n">
        <v>164</v>
      </c>
      <c r="H13" s="5">
        <f>ROUND(G13/E13*100,2)</f>
        <v/>
      </c>
      <c r="I13" s="5">
        <f>7935.31</f>
        <v/>
      </c>
      <c r="J13" s="5">
        <f>ROUND(I13/C13,2)</f>
        <v/>
      </c>
      <c r="K13" s="5">
        <f>IF(G13&gt;0,ROUND(C13/G13,2),999)</f>
        <v/>
      </c>
      <c r="L13" s="5">
        <f>ROUND(C13/45000*100,2)</f>
        <v/>
      </c>
      <c r="M13" s="5">
        <f>ROUND(-0.4245373793764315,1)</f>
        <v/>
      </c>
      <c r="N13" s="4" t="inlineStr">
        <is>
          <t>N</t>
        </is>
      </c>
      <c r="O13" s="5" t="n">
        <v>33608</v>
      </c>
      <c r="P13" s="5">
        <f>ROUND(D13/O13,2)</f>
        <v/>
      </c>
      <c r="Q13" s="5" t="n">
        <v>0</v>
      </c>
      <c r="R13" s="4" t="inlineStr">
        <is>
          <t>Product Demo</t>
        </is>
      </c>
      <c r="S13" s="4" t="inlineStr">
        <is>
          <t>Competitor bidding increased CPC by 15%. Optimized ad copy reduced CAC.</t>
        </is>
      </c>
    </row>
    <row r="14">
      <c r="A14" s="2" t="inlineStr">
        <is>
          <t>Feb</t>
        </is>
      </c>
      <c r="B14" s="2" t="inlineStr">
        <is>
          <t>Meta Retargeting</t>
        </is>
      </c>
      <c r="C14" s="3">
        <f>3171.15</f>
        <v/>
      </c>
      <c r="D14" s="3" t="n">
        <v>37064</v>
      </c>
      <c r="E14" s="3" t="n">
        <v>1727</v>
      </c>
      <c r="F14" s="3">
        <f>ROUND(E14/D14*100,2)</f>
        <v/>
      </c>
      <c r="G14" s="3" t="n">
        <v>112</v>
      </c>
      <c r="H14" s="3">
        <f>ROUND(G14/E14*100,2)</f>
        <v/>
      </c>
      <c r="I14" s="3">
        <f>9358.34</f>
        <v/>
      </c>
      <c r="J14" s="3">
        <f>ROUND(I14/C14,2)</f>
        <v/>
      </c>
      <c r="K14" s="3">
        <f>IF(G14&gt;0,ROUND(C14/G14,2),999)</f>
        <v/>
      </c>
      <c r="L14" s="3">
        <f>ROUND(C14/45000*100,2)</f>
        <v/>
      </c>
      <c r="M14" s="3">
        <f>ROUND(-3.8937653478047056,1)</f>
        <v/>
      </c>
      <c r="N14" s="2" t="inlineStr">
        <is>
          <t>N</t>
        </is>
      </c>
      <c r="O14" s="3" t="n">
        <v>23120</v>
      </c>
      <c r="P14" s="3">
        <f>ROUND(D14/O14,2)</f>
        <v/>
      </c>
      <c r="Q14" s="3" t="n">
        <v>1</v>
      </c>
      <c r="R14" s="2" t="inlineStr">
        <is>
          <t>Lifestyle</t>
        </is>
      </c>
      <c r="S14" s="2" t="inlineStr">
        <is>
          <t>New influencer partnership drove 2,400 impressions in organic reach.</t>
        </is>
      </c>
    </row>
    <row r="15">
      <c r="A15" s="4" t="inlineStr">
        <is>
          <t>Feb</t>
        </is>
      </c>
      <c r="B15" s="4" t="inlineStr">
        <is>
          <t>TikTok</t>
        </is>
      </c>
      <c r="C15" s="5">
        <f>2273.65</f>
        <v/>
      </c>
      <c r="D15" s="5" t="n">
        <v>25003</v>
      </c>
      <c r="E15" s="5" t="n">
        <v>868</v>
      </c>
      <c r="F15" s="5">
        <f>ROUND(E15/D15*100,2)</f>
        <v/>
      </c>
      <c r="G15" s="5" t="n">
        <v>62</v>
      </c>
      <c r="H15" s="5">
        <f>ROUND(G15/E15*100,2)</f>
        <v/>
      </c>
      <c r="I15" s="5">
        <f>7176.47</f>
        <v/>
      </c>
      <c r="J15" s="5">
        <f>ROUND(I15/C15,2)</f>
        <v/>
      </c>
      <c r="K15" s="5">
        <f>IF(G15&gt;0,ROUND(C15/G15,2),999)</f>
        <v/>
      </c>
      <c r="L15" s="5">
        <f>ROUND(C15/45000*100,2)</f>
        <v/>
      </c>
      <c r="M15" s="5">
        <f>ROUND(2.425820847439413,1)</f>
        <v/>
      </c>
      <c r="N15" s="4" t="inlineStr">
        <is>
          <t>N</t>
        </is>
      </c>
      <c r="O15" s="5" t="n">
        <v>15890</v>
      </c>
      <c r="P15" s="5">
        <f>ROUND(D15/O15,2)</f>
        <v/>
      </c>
      <c r="Q15" s="5" t="n">
        <v>0</v>
      </c>
      <c r="R15" s="4" t="inlineStr">
        <is>
          <t>Lifestyle</t>
        </is>
      </c>
      <c r="S15" s="4" t="inlineStr">
        <is>
          <t>Test of carousel ads showed 31% higher engagement than static images.</t>
        </is>
      </c>
    </row>
    <row r="16">
      <c r="A16" s="2" t="inlineStr">
        <is>
          <t>Feb</t>
        </is>
      </c>
      <c r="B16" s="2" t="inlineStr">
        <is>
          <t>YouTube</t>
        </is>
      </c>
      <c r="C16" s="3">
        <f>1218.18</f>
        <v/>
      </c>
      <c r="D16" s="3" t="n">
        <v>22347</v>
      </c>
      <c r="E16" s="3" t="n">
        <v>889</v>
      </c>
      <c r="F16" s="3">
        <f>ROUND(E16/D16*100,2)</f>
        <v/>
      </c>
      <c r="G16" s="3" t="n">
        <v>82</v>
      </c>
      <c r="H16" s="3">
        <f>ROUND(G16/E16*100,2)</f>
        <v/>
      </c>
      <c r="I16" s="3">
        <f>4817.76</f>
        <v/>
      </c>
      <c r="J16" s="3">
        <f>ROUND(I16/C16,2)</f>
        <v/>
      </c>
      <c r="K16" s="3">
        <f>IF(G16&gt;0,ROUND(C16/G16,2),999)</f>
        <v/>
      </c>
      <c r="L16" s="3">
        <f>ROUND(C16/45000*100,2)</f>
        <v/>
      </c>
      <c r="M16" s="3">
        <f>ROUND(-1.5798025000772198,1)</f>
        <v/>
      </c>
      <c r="N16" s="2" t="inlineStr">
        <is>
          <t>N</t>
        </is>
      </c>
      <c r="O16" s="3" t="n">
        <v>14097</v>
      </c>
      <c r="P16" s="3">
        <f>ROUND(D16/O16,2)</f>
        <v/>
      </c>
      <c r="Q16" s="3" t="n">
        <v>2</v>
      </c>
      <c r="R16" s="2" t="inlineStr">
        <is>
          <t>Product Demo</t>
        </is>
      </c>
      <c r="S16" s="2" t="inlineStr">
        <is>
          <t>Mobile optimization work resulted in CVR improvement of 12%.</t>
        </is>
      </c>
    </row>
    <row r="17">
      <c r="A17" s="4" t="inlineStr">
        <is>
          <t>Feb</t>
        </is>
      </c>
      <c r="B17" s="4" t="inlineStr">
        <is>
          <t>Display/Retargeting</t>
        </is>
      </c>
      <c r="C17" s="5">
        <f>924.40</f>
        <v/>
      </c>
      <c r="D17" s="5" t="n">
        <v>10303</v>
      </c>
      <c r="E17" s="5" t="n">
        <v>321</v>
      </c>
      <c r="F17" s="5">
        <f>ROUND(E17/D17*100,2)</f>
        <v/>
      </c>
      <c r="G17" s="5" t="n">
        <v>22</v>
      </c>
      <c r="H17" s="5">
        <f>ROUND(G17/E17*100,2)</f>
        <v/>
      </c>
      <c r="I17" s="5">
        <f>3116.10</f>
        <v/>
      </c>
      <c r="J17" s="5">
        <f>ROUND(I17/C17,2)</f>
        <v/>
      </c>
      <c r="K17" s="5">
        <f>IF(G17&gt;0,ROUND(C17/G17,2),999)</f>
        <v/>
      </c>
      <c r="L17" s="5">
        <f>ROUND(C17/45000*100,2)</f>
        <v/>
      </c>
      <c r="M17" s="5">
        <f>ROUND(1.6382545373240225,1)</f>
        <v/>
      </c>
      <c r="N17" s="4" t="inlineStr">
        <is>
          <t>N</t>
        </is>
      </c>
      <c r="O17" s="5" t="n">
        <v>3688</v>
      </c>
      <c r="P17" s="5">
        <f>ROUND(D17/O17,2)</f>
        <v/>
      </c>
      <c r="Q17" s="5" t="n">
        <v>3</v>
      </c>
      <c r="R17" s="4" t="inlineStr">
        <is>
          <t>Lifestyle</t>
        </is>
      </c>
      <c r="S17" s="4" t="inlineStr">
        <is>
          <t>Seasonal messaging resonated with Health-Conscious Professionals segment.</t>
        </is>
      </c>
    </row>
    <row r="18">
      <c r="A18" s="2" t="inlineStr">
        <is>
          <t>Mar</t>
        </is>
      </c>
      <c r="B18" s="2" t="inlineStr">
        <is>
          <t>Google Brand Search</t>
        </is>
      </c>
      <c r="C18" s="3">
        <f>13150.71</f>
        <v/>
      </c>
      <c r="D18" s="3" t="n">
        <v>203445</v>
      </c>
      <c r="E18" s="3" t="n">
        <v>3405</v>
      </c>
      <c r="F18" s="3">
        <f>ROUND(E18/D18*100,2)</f>
        <v/>
      </c>
      <c r="G18" s="3" t="n">
        <v>148</v>
      </c>
      <c r="H18" s="3">
        <f>ROUND(G18/E18*100,2)</f>
        <v/>
      </c>
      <c r="I18" s="3">
        <f>66561.39</f>
        <v/>
      </c>
      <c r="J18" s="3">
        <f>ROUND(I18/C18,2)</f>
        <v/>
      </c>
      <c r="K18" s="3">
        <f>IF(G18&gt;0,ROUND(C18/G18,2),999)</f>
        <v/>
      </c>
      <c r="L18" s="3">
        <f>ROUND(C18/45000*100,2)</f>
        <v/>
      </c>
      <c r="M18" s="3">
        <f>ROUND(-3.700187033485113,1)</f>
        <v/>
      </c>
      <c r="N18" s="2" t="inlineStr">
        <is>
          <t>Y</t>
        </is>
      </c>
      <c r="O18" s="3" t="n">
        <v>95912</v>
      </c>
      <c r="P18" s="3">
        <f>ROUND(D18/O18,2)</f>
        <v/>
      </c>
      <c r="Q18" s="3" t="n">
        <v>2</v>
      </c>
      <c r="R18" s="2" t="inlineStr">
        <is>
          <t>Product Demo</t>
        </is>
      </c>
      <c r="S18" s="2" t="inlineStr">
        <is>
          <t>Strong CTR from geo-targeted campaigns. ROAS within target. Consider expanding budget.</t>
        </is>
      </c>
    </row>
    <row r="19">
      <c r="A19" s="4" t="inlineStr">
        <is>
          <t>Mar</t>
        </is>
      </c>
      <c r="B19" s="4" t="inlineStr">
        <is>
          <t>Google Generic Search</t>
        </is>
      </c>
      <c r="C19" s="5">
        <f>12148.02</f>
        <v/>
      </c>
      <c r="D19" s="5" t="n">
        <v>111816</v>
      </c>
      <c r="E19" s="5" t="n">
        <v>7126</v>
      </c>
      <c r="F19" s="5">
        <f>ROUND(E19/D19*100,2)</f>
        <v/>
      </c>
      <c r="G19" s="5" t="n">
        <v>420</v>
      </c>
      <c r="H19" s="5">
        <f>ROUND(G19/E19*100,2)</f>
        <v/>
      </c>
      <c r="I19" s="5">
        <f>46869.64</f>
        <v/>
      </c>
      <c r="J19" s="5">
        <f>ROUND(I19/C19,2)</f>
        <v/>
      </c>
      <c r="K19" s="5">
        <f>IF(G19&gt;0,ROUND(C19/G19,2),999)</f>
        <v/>
      </c>
      <c r="L19" s="5">
        <f>ROUND(C19/45000*100,2)</f>
        <v/>
      </c>
      <c r="M19" s="5">
        <f>ROUND(4.972492198461944,1)</f>
        <v/>
      </c>
      <c r="N19" s="4" t="inlineStr">
        <is>
          <t>N</t>
        </is>
      </c>
      <c r="O19" s="5" t="n">
        <v>53571</v>
      </c>
      <c r="P19" s="5">
        <f>ROUND(D19/O19,2)</f>
        <v/>
      </c>
      <c r="Q19" s="5" t="n">
        <v>3</v>
      </c>
      <c r="R19" s="4" t="inlineStr">
        <is>
          <t>Product Demo</t>
        </is>
      </c>
      <c r="S19" s="4" t="inlineStr">
        <is>
          <t>New influencer partnership drove 2,400 impressions in organic reach.</t>
        </is>
      </c>
    </row>
    <row r="20">
      <c r="A20" s="2" t="inlineStr">
        <is>
          <t>Mar</t>
        </is>
      </c>
      <c r="B20" s="2" t="inlineStr">
        <is>
          <t>Google Shopping</t>
        </is>
      </c>
      <c r="C20" s="3">
        <f>8182.83</f>
        <v/>
      </c>
      <c r="D20" s="3" t="n">
        <v>133203</v>
      </c>
      <c r="E20" s="3" t="n">
        <v>3676</v>
      </c>
      <c r="F20" s="3">
        <f>ROUND(E20/D20*100,2)</f>
        <v/>
      </c>
      <c r="G20" s="3" t="n">
        <v>226</v>
      </c>
      <c r="H20" s="3">
        <f>ROUND(G20/E20*100,2)</f>
        <v/>
      </c>
      <c r="I20" s="3">
        <f>30383.89</f>
        <v/>
      </c>
      <c r="J20" s="3">
        <f>ROUND(I20/C20,2)</f>
        <v/>
      </c>
      <c r="K20" s="3">
        <f>IF(G20&gt;0,ROUND(C20/G20,2),999)</f>
        <v/>
      </c>
      <c r="L20" s="3">
        <f>ROUND(C20/45000*100,2)</f>
        <v/>
      </c>
      <c r="M20" s="3">
        <f>ROUND(-0.7802191233260504,1)</f>
        <v/>
      </c>
      <c r="N20" s="2" t="inlineStr">
        <is>
          <t>N</t>
        </is>
      </c>
      <c r="O20" s="3" t="n">
        <v>59669</v>
      </c>
      <c r="P20" s="3">
        <f>ROUND(D20/O20,2)</f>
        <v/>
      </c>
      <c r="Q20" s="3" t="n">
        <v>0</v>
      </c>
      <c r="R20" s="2" t="inlineStr">
        <is>
          <t>Seasonal</t>
        </is>
      </c>
      <c r="S20" s="2" t="inlineStr">
        <is>
          <t>Brand awareness campaign (untracked conversions) estimated 8% incremental lift.</t>
        </is>
      </c>
    </row>
    <row r="21">
      <c r="A21" s="4" t="inlineStr">
        <is>
          <t>Mar</t>
        </is>
      </c>
      <c r="B21" s="4" t="inlineStr">
        <is>
          <t>Meta Prospecting</t>
        </is>
      </c>
      <c r="C21" s="5">
        <f>3821.39</f>
        <v/>
      </c>
      <c r="D21" s="5" t="n">
        <v>53971</v>
      </c>
      <c r="E21" s="5" t="n">
        <v>3243</v>
      </c>
      <c r="F21" s="5">
        <f>ROUND(E21/D21*100,2)</f>
        <v/>
      </c>
      <c r="G21" s="5" t="n">
        <v>177</v>
      </c>
      <c r="H21" s="5">
        <f>ROUND(G21/E21*100,2)</f>
        <v/>
      </c>
      <c r="I21" s="5">
        <f>9562.39</f>
        <v/>
      </c>
      <c r="J21" s="5">
        <f>ROUND(I21/C21,2)</f>
        <v/>
      </c>
      <c r="K21" s="5">
        <f>IF(G21&gt;0,ROUND(C21/G21,2),999)</f>
        <v/>
      </c>
      <c r="L21" s="5">
        <f>ROUND(C21/45000*100,2)</f>
        <v/>
      </c>
      <c r="M21" s="5">
        <f>ROUND(-2.4486531382954655,1)</f>
        <v/>
      </c>
      <c r="N21" s="4" t="inlineStr">
        <is>
          <t>N</t>
        </is>
      </c>
      <c r="O21" s="5" t="n">
        <v>17690</v>
      </c>
      <c r="P21" s="5">
        <f>ROUND(D21/O21,2)</f>
        <v/>
      </c>
      <c r="Q21" s="5" t="n">
        <v>3</v>
      </c>
      <c r="R21" s="4" t="inlineStr">
        <is>
          <t>Educational</t>
        </is>
      </c>
      <c r="S21" s="4" t="inlineStr">
        <is>
          <t>Dayparting analysis showed peak performance 7-9 PM weekdays.</t>
        </is>
      </c>
    </row>
    <row r="22">
      <c r="A22" s="2" t="inlineStr">
        <is>
          <t>Mar</t>
        </is>
      </c>
      <c r="B22" s="2" t="inlineStr">
        <is>
          <t>Meta Retargeting</t>
        </is>
      </c>
      <c r="C22" s="3">
        <f>3090.96</f>
        <v/>
      </c>
      <c r="D22" s="3" t="n">
        <v>53732</v>
      </c>
      <c r="E22" s="3" t="n">
        <v>4139</v>
      </c>
      <c r="F22" s="3">
        <f>ROUND(E22/D22*100,2)</f>
        <v/>
      </c>
      <c r="G22" s="3" t="n">
        <v>175</v>
      </c>
      <c r="H22" s="3">
        <f>ROUND(G22/E22*100,2)</f>
        <v/>
      </c>
      <c r="I22" s="3">
        <f>9644.92</f>
        <v/>
      </c>
      <c r="J22" s="3">
        <f>ROUND(I22/C22,2)</f>
        <v/>
      </c>
      <c r="K22" s="3">
        <f>IF(G22&gt;0,ROUND(C22/G22,2),999)</f>
        <v/>
      </c>
      <c r="L22" s="3">
        <f>ROUND(C22/45000*100,2)</f>
        <v/>
      </c>
      <c r="M22" s="3">
        <f>ROUND(-2.580689686718246,1)</f>
        <v/>
      </c>
      <c r="N22" s="2" t="inlineStr">
        <is>
          <t>N</t>
        </is>
      </c>
      <c r="O22" s="3" t="n">
        <v>34687</v>
      </c>
      <c r="P22" s="3">
        <f>ROUND(D22/O22,2)</f>
        <v/>
      </c>
      <c r="Q22" s="3" t="n">
        <v>2</v>
      </c>
      <c r="R22" s="2" t="inlineStr">
        <is>
          <t>Educational</t>
        </is>
      </c>
      <c r="S22" s="2" t="inlineStr">
        <is>
          <t>New audience segment (Gift Purchasers) outperforming expectations at 5.2x ROAS.</t>
        </is>
      </c>
    </row>
    <row r="23">
      <c r="A23" s="4" t="inlineStr">
        <is>
          <t>Mar</t>
        </is>
      </c>
      <c r="B23" s="4" t="inlineStr">
        <is>
          <t>TikTok</t>
        </is>
      </c>
      <c r="C23" s="5">
        <f>2068.47</f>
        <v/>
      </c>
      <c r="D23" s="5" t="n">
        <v>28276</v>
      </c>
      <c r="E23" s="5" t="n">
        <v>1124</v>
      </c>
      <c r="F23" s="5">
        <f>ROUND(E23/D23*100,2)</f>
        <v/>
      </c>
      <c r="G23" s="5" t="n">
        <v>100</v>
      </c>
      <c r="H23" s="5">
        <f>ROUND(G23/E23*100,2)</f>
        <v/>
      </c>
      <c r="I23" s="5">
        <f>6020.24</f>
        <v/>
      </c>
      <c r="J23" s="5">
        <f>ROUND(I23/C23,2)</f>
        <v/>
      </c>
      <c r="K23" s="5">
        <f>IF(G23&gt;0,ROUND(C23/G23,2),999)</f>
        <v/>
      </c>
      <c r="L23" s="5">
        <f>ROUND(C23/45000*100,2)</f>
        <v/>
      </c>
      <c r="M23" s="5">
        <f>ROUND(-2.360014300323948,1)</f>
        <v/>
      </c>
      <c r="N23" s="4" t="inlineStr">
        <is>
          <t>N</t>
        </is>
      </c>
      <c r="O23" s="5" t="n">
        <v>17779</v>
      </c>
      <c r="P23" s="5">
        <f>ROUND(D23/O23,2)</f>
        <v/>
      </c>
      <c r="Q23" s="5" t="n">
        <v>2</v>
      </c>
      <c r="R23" s="4" t="inlineStr">
        <is>
          <t>Seasonal</t>
        </is>
      </c>
      <c r="S23" s="4" t="inlineStr">
        <is>
          <t>Post-purchase follow-up ads reduced first-month churn by 7%.</t>
        </is>
      </c>
    </row>
    <row r="24">
      <c r="A24" s="2" t="inlineStr">
        <is>
          <t>Mar</t>
        </is>
      </c>
      <c r="B24" s="2" t="inlineStr">
        <is>
          <t>YouTube</t>
        </is>
      </c>
      <c r="C24" s="3">
        <f>1271.26</f>
        <v/>
      </c>
      <c r="D24" s="3" t="n">
        <v>19467</v>
      </c>
      <c r="E24" s="3" t="n">
        <v>1183</v>
      </c>
      <c r="F24" s="3">
        <f>ROUND(E24/D24*100,2)</f>
        <v/>
      </c>
      <c r="G24" s="3" t="n">
        <v>101</v>
      </c>
      <c r="H24" s="3">
        <f>ROUND(G24/E24*100,2)</f>
        <v/>
      </c>
      <c r="I24" s="3">
        <f>4819.56</f>
        <v/>
      </c>
      <c r="J24" s="3">
        <f>ROUND(I24/C24,2)</f>
        <v/>
      </c>
      <c r="K24" s="3">
        <f>IF(G24&gt;0,ROUND(C24/G24,2),999)</f>
        <v/>
      </c>
      <c r="L24" s="3">
        <f>ROUND(C24/45000*100,2)</f>
        <v/>
      </c>
      <c r="M24" s="3">
        <f>ROUND(4.699305285007214,1)</f>
        <v/>
      </c>
      <c r="N24" s="2" t="inlineStr">
        <is>
          <t>N</t>
        </is>
      </c>
      <c r="O24" s="3" t="n">
        <v>7967</v>
      </c>
      <c r="P24" s="3">
        <f>ROUND(D24/O24,2)</f>
        <v/>
      </c>
      <c r="Q24" s="3" t="n">
        <v>0</v>
      </c>
      <c r="R24" s="2" t="inlineStr">
        <is>
          <t>Promotional</t>
        </is>
      </c>
      <c r="S24" s="2" t="inlineStr">
        <is>
          <t>Mobile optimization work resulted in CVR improvement of 12%.</t>
        </is>
      </c>
    </row>
    <row r="25">
      <c r="A25" s="4" t="inlineStr">
        <is>
          <t>Mar</t>
        </is>
      </c>
      <c r="B25" s="4" t="inlineStr">
        <is>
          <t>Display/Retargeting</t>
        </is>
      </c>
      <c r="C25" s="5">
        <f>910.43</f>
        <v/>
      </c>
      <c r="D25" s="5" t="n">
        <v>12808</v>
      </c>
      <c r="E25" s="5" t="n">
        <v>640</v>
      </c>
      <c r="F25" s="5">
        <f>ROUND(E25/D25*100,2)</f>
        <v/>
      </c>
      <c r="G25" s="5" t="n">
        <v>32</v>
      </c>
      <c r="H25" s="5">
        <f>ROUND(G25/E25*100,2)</f>
        <v/>
      </c>
      <c r="I25" s="5">
        <f>2978.85</f>
        <v/>
      </c>
      <c r="J25" s="5">
        <f>ROUND(I25/C25,2)</f>
        <v/>
      </c>
      <c r="K25" s="5">
        <f>IF(G25&gt;0,ROUND(C25/G25,2),999)</f>
        <v/>
      </c>
      <c r="L25" s="5">
        <f>ROUND(C25/45000*100,2)</f>
        <v/>
      </c>
      <c r="M25" s="5">
        <f>ROUND(0.9429830224592058,1)</f>
        <v/>
      </c>
      <c r="N25" s="4" t="inlineStr">
        <is>
          <t>N</t>
        </is>
      </c>
      <c r="O25" s="5" t="n">
        <v>7251</v>
      </c>
      <c r="P25" s="5">
        <f>ROUND(D25/O25,2)</f>
        <v/>
      </c>
      <c r="Q25" s="5" t="n">
        <v>3</v>
      </c>
      <c r="R25" s="4" t="inlineStr">
        <is>
          <t>Promotional</t>
        </is>
      </c>
      <c r="S25" s="4" t="inlineStr">
        <is>
          <t>Audience lookalike expansion successful; CAC at 18-month low.</t>
        </is>
      </c>
    </row>
    <row r="26">
      <c r="A26" s="2" t="inlineStr">
        <is>
          <t>Apr</t>
        </is>
      </c>
      <c r="B26" s="2" t="inlineStr">
        <is>
          <t>Google Brand Search</t>
        </is>
      </c>
      <c r="C26" s="3">
        <f>14510.72</f>
        <v/>
      </c>
      <c r="D26" s="3" t="n">
        <v>226579</v>
      </c>
      <c r="E26" s="3" t="n">
        <v>4831</v>
      </c>
      <c r="F26" s="3">
        <f>ROUND(E26/D26*100,2)</f>
        <v/>
      </c>
      <c r="G26" s="3" t="n">
        <v>321</v>
      </c>
      <c r="H26" s="3">
        <f>ROUND(G26/E26*100,2)</f>
        <v/>
      </c>
      <c r="I26" s="3">
        <f>63329.93</f>
        <v/>
      </c>
      <c r="J26" s="3">
        <f>ROUND(I26/C26,2)</f>
        <v/>
      </c>
      <c r="K26" s="3">
        <f>IF(G26&gt;0,ROUND(C26/G26,2),999)</f>
        <v/>
      </c>
      <c r="L26" s="3">
        <f>ROUND(C26/45000*100,2)</f>
        <v/>
      </c>
      <c r="M26" s="3">
        <f>ROUND(-1.3406447617618669,1)</f>
        <v/>
      </c>
      <c r="N26" s="2" t="inlineStr">
        <is>
          <t>Y</t>
        </is>
      </c>
      <c r="O26" s="3" t="n">
        <v>107322</v>
      </c>
      <c r="P26" s="3">
        <f>ROUND(D26/O26,2)</f>
        <v/>
      </c>
      <c r="Q26" s="3" t="n">
        <v>2</v>
      </c>
      <c r="R26" s="2" t="inlineStr">
        <is>
          <t>Product Demo</t>
        </is>
      </c>
      <c r="S26" s="2" t="inlineStr">
        <is>
          <t>Post-purchase follow-up ads reduced first-month churn by 7%.</t>
        </is>
      </c>
    </row>
    <row r="27">
      <c r="A27" s="4" t="inlineStr">
        <is>
          <t>Apr</t>
        </is>
      </c>
      <c r="B27" s="4" t="inlineStr">
        <is>
          <t>Google Generic Search</t>
        </is>
      </c>
      <c r="C27" s="5">
        <f>12116.15</f>
        <v/>
      </c>
      <c r="D27" s="5" t="n">
        <v>227963</v>
      </c>
      <c r="E27" s="5" t="n">
        <v>12376</v>
      </c>
      <c r="F27" s="5">
        <f>ROUND(E27/D27*100,2)</f>
        <v/>
      </c>
      <c r="G27" s="5" t="n">
        <v>938</v>
      </c>
      <c r="H27" s="5">
        <f>ROUND(G27/E27*100,2)</f>
        <v/>
      </c>
      <c r="I27" s="5">
        <f>38742.27</f>
        <v/>
      </c>
      <c r="J27" s="5">
        <f>ROUND(I27/C27,2)</f>
        <v/>
      </c>
      <c r="K27" s="5">
        <f>IF(G27&gt;0,ROUND(C27/G27,2),999)</f>
        <v/>
      </c>
      <c r="L27" s="5">
        <f>ROUND(C27/45000*100,2)</f>
        <v/>
      </c>
      <c r="M27" s="5">
        <f>ROUND(4.212334839976687,1)</f>
        <v/>
      </c>
      <c r="N27" s="4" t="inlineStr">
        <is>
          <t>N</t>
        </is>
      </c>
      <c r="O27" s="5" t="n">
        <v>102560</v>
      </c>
      <c r="P27" s="5">
        <f>ROUND(D27/O27,2)</f>
        <v/>
      </c>
      <c r="Q27" s="5" t="n">
        <v>3</v>
      </c>
      <c r="R27" s="4" t="inlineStr">
        <is>
          <t>Product Demo</t>
        </is>
      </c>
      <c r="S27" s="4" t="inlineStr">
        <is>
          <t>New language variant (Italian) tested with Ticino audience; early ROAS 3.8x.</t>
        </is>
      </c>
    </row>
    <row r="28">
      <c r="A28" s="2" t="inlineStr">
        <is>
          <t>Apr</t>
        </is>
      </c>
      <c r="B28" s="2" t="inlineStr">
        <is>
          <t>Google Shopping</t>
        </is>
      </c>
      <c r="C28" s="3">
        <f>8392.13</f>
        <v/>
      </c>
      <c r="D28" s="3" t="n">
        <v>151162</v>
      </c>
      <c r="E28" s="3" t="n">
        <v>5665</v>
      </c>
      <c r="F28" s="3">
        <f>ROUND(E28/D28*100,2)</f>
        <v/>
      </c>
      <c r="G28" s="3" t="n">
        <v>419</v>
      </c>
      <c r="H28" s="3">
        <f>ROUND(G28/E28*100,2)</f>
        <v/>
      </c>
      <c r="I28" s="3">
        <f>35108.68</f>
        <v/>
      </c>
      <c r="J28" s="3">
        <f>ROUND(I28/C28,2)</f>
        <v/>
      </c>
      <c r="K28" s="3">
        <f>IF(G28&gt;0,ROUND(C28/G28,2),999)</f>
        <v/>
      </c>
      <c r="L28" s="3">
        <f>ROUND(C28/45000*100,2)</f>
        <v/>
      </c>
      <c r="M28" s="3">
        <f>ROUND(-4.3677536087930475,1)</f>
        <v/>
      </c>
      <c r="N28" s="2" t="inlineStr">
        <is>
          <t>Y</t>
        </is>
      </c>
      <c r="O28" s="3" t="n">
        <v>90026</v>
      </c>
      <c r="P28" s="3">
        <f>ROUND(D28/O28,2)</f>
        <v/>
      </c>
      <c r="Q28" s="3" t="n">
        <v>2</v>
      </c>
      <c r="R28" s="2" t="inlineStr">
        <is>
          <t>Promotional</t>
        </is>
      </c>
      <c r="S28" s="2" t="inlineStr">
        <is>
          <t>Mobile optimization work resulted in CVR improvement of 12%.</t>
        </is>
      </c>
    </row>
    <row r="29">
      <c r="A29" s="4" t="inlineStr">
        <is>
          <t>Apr</t>
        </is>
      </c>
      <c r="B29" s="4" t="inlineStr">
        <is>
          <t>Meta Prospecting</t>
        </is>
      </c>
      <c r="C29" s="5">
        <f>3489.20</f>
        <v/>
      </c>
      <c r="D29" s="5" t="n">
        <v>55826</v>
      </c>
      <c r="E29" s="5" t="n">
        <v>3790</v>
      </c>
      <c r="F29" s="5">
        <f>ROUND(E29/D29*100,2)</f>
        <v/>
      </c>
      <c r="G29" s="5" t="n">
        <v>159</v>
      </c>
      <c r="H29" s="5">
        <f>ROUND(G29/E29*100,2)</f>
        <v/>
      </c>
      <c r="I29" s="5">
        <f>7360.72</f>
        <v/>
      </c>
      <c r="J29" s="5">
        <f>ROUND(I29/C29,2)</f>
        <v/>
      </c>
      <c r="K29" s="5">
        <f>IF(G29&gt;0,ROUND(C29/G29,2),999)</f>
        <v/>
      </c>
      <c r="L29" s="5">
        <f>ROUND(C29/45000*100,2)</f>
        <v/>
      </c>
      <c r="M29" s="5">
        <f>ROUND(-1.4522610812146162,1)</f>
        <v/>
      </c>
      <c r="N29" s="4" t="inlineStr">
        <is>
          <t>N</t>
        </is>
      </c>
      <c r="O29" s="5" t="n">
        <v>30645</v>
      </c>
      <c r="P29" s="5">
        <f>ROUND(D29/O29,2)</f>
        <v/>
      </c>
      <c r="Q29" s="5" t="n">
        <v>1</v>
      </c>
      <c r="R29" s="4" t="inlineStr">
        <is>
          <t>Promotional</t>
        </is>
      </c>
      <c r="S29" s="4" t="inlineStr">
        <is>
          <t>Competitor bidding increased CPC by 15%. Optimized ad copy reduced CAC.</t>
        </is>
      </c>
    </row>
    <row r="30">
      <c r="A30" s="2" t="inlineStr">
        <is>
          <t>Apr</t>
        </is>
      </c>
      <c r="B30" s="2" t="inlineStr">
        <is>
          <t>Meta Retargeting</t>
        </is>
      </c>
      <c r="C30" s="3">
        <f>3138.76</f>
        <v/>
      </c>
      <c r="D30" s="3" t="n">
        <v>50115</v>
      </c>
      <c r="E30" s="3" t="n">
        <v>1591</v>
      </c>
      <c r="F30" s="3">
        <f>ROUND(E30/D30*100,2)</f>
        <v/>
      </c>
      <c r="G30" s="3" t="n">
        <v>128</v>
      </c>
      <c r="H30" s="3">
        <f>ROUND(G30/E30*100,2)</f>
        <v/>
      </c>
      <c r="I30" s="3">
        <f>8933.62</f>
        <v/>
      </c>
      <c r="J30" s="3">
        <f>ROUND(I30/C30,2)</f>
        <v/>
      </c>
      <c r="K30" s="3">
        <f>IF(G30&gt;0,ROUND(C30/G30,2),999)</f>
        <v/>
      </c>
      <c r="L30" s="3">
        <f>ROUND(C30/45000*100,2)</f>
        <v/>
      </c>
      <c r="M30" s="3">
        <f>ROUND(-0.7137806041060102,1)</f>
        <v/>
      </c>
      <c r="N30" s="2" t="inlineStr">
        <is>
          <t>N</t>
        </is>
      </c>
      <c r="O30" s="3" t="n">
        <v>19074</v>
      </c>
      <c r="P30" s="3">
        <f>ROUND(D30/O30,2)</f>
        <v/>
      </c>
      <c r="Q30" s="3" t="n">
        <v>0</v>
      </c>
      <c r="R30" s="2" t="inlineStr">
        <is>
          <t>Promotional</t>
        </is>
      </c>
      <c r="S30" s="2" t="inlineStr">
        <is>
          <t>Frequency capping adjustment reduced ad fatigue, improved CTR by 6%.</t>
        </is>
      </c>
    </row>
    <row r="31">
      <c r="A31" s="4" t="inlineStr">
        <is>
          <t>Apr</t>
        </is>
      </c>
      <c r="B31" s="4" t="inlineStr">
        <is>
          <t>TikTok</t>
        </is>
      </c>
      <c r="C31" s="5">
        <f>2445.50</f>
        <v/>
      </c>
      <c r="D31" s="5" t="n">
        <v>25998</v>
      </c>
      <c r="E31" s="5" t="n">
        <v>1441</v>
      </c>
      <c r="F31" s="5">
        <f>ROUND(E31/D31*100,2)</f>
        <v/>
      </c>
      <c r="G31" s="5" t="n">
        <v>67</v>
      </c>
      <c r="H31" s="5">
        <f>ROUND(G31/E31*100,2)</f>
        <v/>
      </c>
      <c r="I31" s="5">
        <f>7342.90</f>
        <v/>
      </c>
      <c r="J31" s="5">
        <f>ROUND(I31/C31,2)</f>
        <v/>
      </c>
      <c r="K31" s="5">
        <f>IF(G31&gt;0,ROUND(C31/G31,2),999)</f>
        <v/>
      </c>
      <c r="L31" s="5">
        <f>ROUND(C31/45000*100,2)</f>
        <v/>
      </c>
      <c r="M31" s="5">
        <f>ROUND(-4.223986990412993,1)</f>
        <v/>
      </c>
      <c r="N31" s="4" t="inlineStr">
        <is>
          <t>N</t>
        </is>
      </c>
      <c r="O31" s="5" t="n">
        <v>13373</v>
      </c>
      <c r="P31" s="5">
        <f>ROUND(D31/O31,2)</f>
        <v/>
      </c>
      <c r="Q31" s="5" t="n">
        <v>2</v>
      </c>
      <c r="R31" s="4" t="inlineStr">
        <is>
          <t>Educational</t>
        </is>
      </c>
      <c r="S31" s="4" t="inlineStr">
        <is>
          <t>Video content format tested; CPV 18% below benchmark average.</t>
        </is>
      </c>
    </row>
    <row r="32">
      <c r="A32" s="2" t="inlineStr">
        <is>
          <t>Apr</t>
        </is>
      </c>
      <c r="B32" s="2" t="inlineStr">
        <is>
          <t>YouTube</t>
        </is>
      </c>
      <c r="C32" s="3">
        <f>1280.87</f>
        <v/>
      </c>
      <c r="D32" s="3" t="n">
        <v>19243</v>
      </c>
      <c r="E32" s="3" t="n">
        <v>838</v>
      </c>
      <c r="F32" s="3">
        <f>ROUND(E32/D32*100,2)</f>
        <v/>
      </c>
      <c r="G32" s="3" t="n">
        <v>46</v>
      </c>
      <c r="H32" s="3">
        <f>ROUND(G32/E32*100,2)</f>
        <v/>
      </c>
      <c r="I32" s="3">
        <f>4770.14</f>
        <v/>
      </c>
      <c r="J32" s="3">
        <f>ROUND(I32/C32,2)</f>
        <v/>
      </c>
      <c r="K32" s="3">
        <f>IF(G32&gt;0,ROUND(C32/G32,2),999)</f>
        <v/>
      </c>
      <c r="L32" s="3">
        <f>ROUND(C32/45000*100,2)</f>
        <v/>
      </c>
      <c r="M32" s="3">
        <f>ROUND(-4.645680205660304,1)</f>
        <v/>
      </c>
      <c r="N32" s="2" t="inlineStr">
        <is>
          <t>N</t>
        </is>
      </c>
      <c r="O32" s="3" t="n">
        <v>11303</v>
      </c>
      <c r="P32" s="3">
        <f>ROUND(D32/O32,2)</f>
        <v/>
      </c>
      <c r="Q32" s="3" t="n">
        <v>0</v>
      </c>
      <c r="R32" s="2" t="inlineStr">
        <is>
          <t>Lifestyle</t>
        </is>
      </c>
      <c r="S32" s="2" t="inlineStr">
        <is>
          <t>Bundle promotion drove 23% lift in AOV vs non-promo period.</t>
        </is>
      </c>
    </row>
    <row r="33">
      <c r="A33" s="4" t="inlineStr">
        <is>
          <t>Apr</t>
        </is>
      </c>
      <c r="B33" s="4" t="inlineStr">
        <is>
          <t>Display/Retargeting</t>
        </is>
      </c>
      <c r="C33" s="5">
        <f>815.01</f>
        <v/>
      </c>
      <c r="D33" s="5" t="n">
        <v>10368</v>
      </c>
      <c r="E33" s="5" t="n">
        <v>313</v>
      </c>
      <c r="F33" s="5">
        <f>ROUND(E33/D33*100,2)</f>
        <v/>
      </c>
      <c r="G33" s="5" t="n">
        <v>15</v>
      </c>
      <c r="H33" s="5">
        <f>ROUND(G33/E33*100,2)</f>
        <v/>
      </c>
      <c r="I33" s="5">
        <f>2564.83</f>
        <v/>
      </c>
      <c r="J33" s="5">
        <f>ROUND(I33/C33,2)</f>
        <v/>
      </c>
      <c r="K33" s="5">
        <f>IF(G33&gt;0,ROUND(C33/G33,2),999)</f>
        <v/>
      </c>
      <c r="L33" s="5">
        <f>ROUND(C33/45000*100,2)</f>
        <v/>
      </c>
      <c r="M33" s="5">
        <f>ROUND(0.6627617222929716,1)</f>
        <v/>
      </c>
      <c r="N33" s="4" t="inlineStr">
        <is>
          <t>N</t>
        </is>
      </c>
      <c r="O33" s="5" t="n">
        <v>5104</v>
      </c>
      <c r="P33" s="5">
        <f>ROUND(D33/O33,2)</f>
        <v/>
      </c>
      <c r="Q33" s="5" t="n">
        <v>3</v>
      </c>
      <c r="R33" s="4" t="inlineStr">
        <is>
          <t>UGC</t>
        </is>
      </c>
      <c r="S33" s="4" t="inlineStr">
        <is>
          <t>Seasonal messaging resonated with Health-Conscious Professionals segment.</t>
        </is>
      </c>
    </row>
    <row r="34">
      <c r="A34" s="2" t="inlineStr">
        <is>
          <t>May</t>
        </is>
      </c>
      <c r="B34" s="2" t="inlineStr">
        <is>
          <t>Google Brand Search</t>
        </is>
      </c>
      <c r="C34" s="3">
        <f>14359.35</f>
        <v/>
      </c>
      <c r="D34" s="3" t="n">
        <v>242243</v>
      </c>
      <c r="E34" s="3" t="n">
        <v>6866</v>
      </c>
      <c r="F34" s="3">
        <f>ROUND(E34/D34*100,2)</f>
        <v/>
      </c>
      <c r="G34" s="3" t="n">
        <v>359</v>
      </c>
      <c r="H34" s="3">
        <f>ROUND(G34/E34*100,2)</f>
        <v/>
      </c>
      <c r="I34" s="3">
        <f>62787.03</f>
        <v/>
      </c>
      <c r="J34" s="3">
        <f>ROUND(I34/C34,2)</f>
        <v/>
      </c>
      <c r="K34" s="3">
        <f>IF(G34&gt;0,ROUND(C34/G34,2),999)</f>
        <v/>
      </c>
      <c r="L34" s="3">
        <f>ROUND(C34/45000*100,2)</f>
        <v/>
      </c>
      <c r="M34" s="3">
        <f>ROUND(4.702600630066769,1)</f>
        <v/>
      </c>
      <c r="N34" s="2" t="inlineStr">
        <is>
          <t>Y</t>
        </is>
      </c>
      <c r="O34" s="3" t="n">
        <v>88060</v>
      </c>
      <c r="P34" s="3">
        <f>ROUND(D34/O34,2)</f>
        <v/>
      </c>
      <c r="Q34" s="3" t="n">
        <v>3</v>
      </c>
      <c r="R34" s="2" t="inlineStr">
        <is>
          <t>Lifestyle</t>
        </is>
      </c>
      <c r="S34" s="2" t="inlineStr">
        <is>
          <t>New influencer partnership drove 2,400 impressions in organic reach.</t>
        </is>
      </c>
    </row>
    <row r="35">
      <c r="A35" s="4" t="inlineStr">
        <is>
          <t>May</t>
        </is>
      </c>
      <c r="B35" s="4" t="inlineStr">
        <is>
          <t>Google Generic Search</t>
        </is>
      </c>
      <c r="C35" s="5">
        <f>10514.16</f>
        <v/>
      </c>
      <c r="D35" s="5" t="n">
        <v>161392</v>
      </c>
      <c r="E35" s="5" t="n">
        <v>9664</v>
      </c>
      <c r="F35" s="5">
        <f>ROUND(E35/D35*100,2)</f>
        <v/>
      </c>
      <c r="G35" s="5" t="n">
        <v>792</v>
      </c>
      <c r="H35" s="5">
        <f>ROUND(G35/E35*100,2)</f>
        <v/>
      </c>
      <c r="I35" s="5">
        <f>39766.56</f>
        <v/>
      </c>
      <c r="J35" s="5">
        <f>ROUND(I35/C35,2)</f>
        <v/>
      </c>
      <c r="K35" s="5">
        <f>IF(G35&gt;0,ROUND(C35/G35,2),999)</f>
        <v/>
      </c>
      <c r="L35" s="5">
        <f>ROUND(C35/45000*100,2)</f>
        <v/>
      </c>
      <c r="M35" s="5">
        <f>ROUND(-3.675858874856018,1)</f>
        <v/>
      </c>
      <c r="N35" s="4" t="inlineStr">
        <is>
          <t>N</t>
        </is>
      </c>
      <c r="O35" s="5" t="n">
        <v>67051</v>
      </c>
      <c r="P35" s="5">
        <f>ROUND(D35/O35,2)</f>
        <v/>
      </c>
      <c r="Q35" s="5" t="n">
        <v>2</v>
      </c>
      <c r="R35" s="4" t="inlineStr">
        <is>
          <t>UGC</t>
        </is>
      </c>
      <c r="S35" s="4" t="inlineStr">
        <is>
          <t>Audience lookalike expansion successful; CAC at 18-month low.</t>
        </is>
      </c>
    </row>
    <row r="36">
      <c r="A36" s="2" t="inlineStr">
        <is>
          <t>May</t>
        </is>
      </c>
      <c r="B36" s="2" t="inlineStr">
        <is>
          <t>Google Shopping</t>
        </is>
      </c>
      <c r="C36" s="3">
        <f>8206.60</f>
        <v/>
      </c>
      <c r="D36" s="3" t="n">
        <v>129204</v>
      </c>
      <c r="E36" s="3" t="n">
        <v>8600</v>
      </c>
      <c r="F36" s="3">
        <f>ROUND(E36/D36*100,2)</f>
        <v/>
      </c>
      <c r="G36" s="3" t="n">
        <v>722</v>
      </c>
      <c r="H36" s="3">
        <f>ROUND(G36/E36*100,2)</f>
        <v/>
      </c>
      <c r="I36" s="3">
        <f>29077.19</f>
        <v/>
      </c>
      <c r="J36" s="3">
        <f>ROUND(I36/C36,2)</f>
        <v/>
      </c>
      <c r="K36" s="3">
        <f>IF(G36&gt;0,ROUND(C36/G36,2),999)</f>
        <v/>
      </c>
      <c r="L36" s="3">
        <f>ROUND(C36/45000*100,2)</f>
        <v/>
      </c>
      <c r="M36" s="3">
        <f>ROUND(-3.8388972214994785,1)</f>
        <v/>
      </c>
      <c r="N36" s="2" t="inlineStr">
        <is>
          <t>N</t>
        </is>
      </c>
      <c r="O36" s="3" t="n">
        <v>76123</v>
      </c>
      <c r="P36" s="3">
        <f>ROUND(D36/O36,2)</f>
        <v/>
      </c>
      <c r="Q36" s="3" t="n">
        <v>1</v>
      </c>
      <c r="R36" s="2" t="inlineStr">
        <is>
          <t>Seasonal</t>
        </is>
      </c>
      <c r="S36" s="2" t="inlineStr">
        <is>
          <t>New influencer partnership drove 2,400 impressions in organic reach.</t>
        </is>
      </c>
    </row>
    <row r="37">
      <c r="A37" s="4" t="inlineStr">
        <is>
          <t>May</t>
        </is>
      </c>
      <c r="B37" s="4" t="inlineStr">
        <is>
          <t>Meta Prospecting</t>
        </is>
      </c>
      <c r="C37" s="5">
        <f>3751.41</f>
        <v/>
      </c>
      <c r="D37" s="5" t="n">
        <v>33749</v>
      </c>
      <c r="E37" s="5" t="n">
        <v>945</v>
      </c>
      <c r="F37" s="5">
        <f>ROUND(E37/D37*100,2)</f>
        <v/>
      </c>
      <c r="G37" s="5" t="n">
        <v>42</v>
      </c>
      <c r="H37" s="5">
        <f>ROUND(G37/E37*100,2)</f>
        <v/>
      </c>
      <c r="I37" s="5">
        <f>9092.19</f>
        <v/>
      </c>
      <c r="J37" s="5">
        <f>ROUND(I37/C37,2)</f>
        <v/>
      </c>
      <c r="K37" s="5">
        <f>IF(G37&gt;0,ROUND(C37/G37,2),999)</f>
        <v/>
      </c>
      <c r="L37" s="5">
        <f>ROUND(C37/45000*100,2)</f>
        <v/>
      </c>
      <c r="M37" s="5">
        <f>ROUND(-3.399102574375744,1)</f>
        <v/>
      </c>
      <c r="N37" s="4" t="inlineStr">
        <is>
          <t>N</t>
        </is>
      </c>
      <c r="O37" s="5" t="n">
        <v>11667</v>
      </c>
      <c r="P37" s="5">
        <f>ROUND(D37/O37,2)</f>
        <v/>
      </c>
      <c r="Q37" s="5" t="n">
        <v>1</v>
      </c>
      <c r="R37" s="4" t="inlineStr">
        <is>
          <t>UGC</t>
        </is>
      </c>
      <c r="S37" s="4" t="inlineStr">
        <is>
          <t>Strong CTR from geo-targeted campaigns. ROAS within target. Consider expanding budget.</t>
        </is>
      </c>
    </row>
    <row r="38">
      <c r="A38" s="2" t="inlineStr">
        <is>
          <t>May</t>
        </is>
      </c>
      <c r="B38" s="2" t="inlineStr">
        <is>
          <t>Meta Retargeting</t>
        </is>
      </c>
      <c r="C38" s="3">
        <f>3405.36</f>
        <v/>
      </c>
      <c r="D38" s="3" t="n">
        <v>62358</v>
      </c>
      <c r="E38" s="3" t="n">
        <v>3335</v>
      </c>
      <c r="F38" s="3">
        <f>ROUND(E38/D38*100,2)</f>
        <v/>
      </c>
      <c r="G38" s="3" t="n">
        <v>246</v>
      </c>
      <c r="H38" s="3">
        <f>ROUND(G38/E38*100,2)</f>
        <v/>
      </c>
      <c r="I38" s="3">
        <f>10123.84</f>
        <v/>
      </c>
      <c r="J38" s="3">
        <f>ROUND(I38/C38,2)</f>
        <v/>
      </c>
      <c r="K38" s="3">
        <f>IF(G38&gt;0,ROUND(C38/G38,2),999)</f>
        <v/>
      </c>
      <c r="L38" s="3">
        <f>ROUND(C38/45000*100,2)</f>
        <v/>
      </c>
      <c r="M38" s="3">
        <f>ROUND(2.6266768265921456,1)</f>
        <v/>
      </c>
      <c r="N38" s="2" t="inlineStr">
        <is>
          <t>N</t>
        </is>
      </c>
      <c r="O38" s="3" t="n">
        <v>40379</v>
      </c>
      <c r="P38" s="3">
        <f>ROUND(D38/O38,2)</f>
        <v/>
      </c>
      <c r="Q38" s="3" t="n">
        <v>2</v>
      </c>
      <c r="R38" s="2" t="inlineStr">
        <is>
          <t>Promotional</t>
        </is>
      </c>
      <c r="S38" s="2" t="inlineStr">
        <is>
          <t>Competitor price drop required messaging adjustment; maintained margin.</t>
        </is>
      </c>
    </row>
    <row r="39">
      <c r="A39" s="4" t="inlineStr">
        <is>
          <t>May</t>
        </is>
      </c>
      <c r="B39" s="4" t="inlineStr">
        <is>
          <t>TikTok</t>
        </is>
      </c>
      <c r="C39" s="5">
        <f>2176.33</f>
        <v/>
      </c>
      <c r="D39" s="5" t="n">
        <v>26058</v>
      </c>
      <c r="E39" s="5" t="n">
        <v>678</v>
      </c>
      <c r="F39" s="5">
        <f>ROUND(E39/D39*100,2)</f>
        <v/>
      </c>
      <c r="G39" s="5" t="n">
        <v>56</v>
      </c>
      <c r="H39" s="5">
        <f>ROUND(G39/E39*100,2)</f>
        <v/>
      </c>
      <c r="I39" s="5">
        <f>6218.82</f>
        <v/>
      </c>
      <c r="J39" s="5">
        <f>ROUND(I39/C39,2)</f>
        <v/>
      </c>
      <c r="K39" s="5">
        <f>IF(G39&gt;0,ROUND(C39/G39,2),999)</f>
        <v/>
      </c>
      <c r="L39" s="5">
        <f>ROUND(C39/45000*100,2)</f>
        <v/>
      </c>
      <c r="M39" s="5">
        <f>ROUND(-0.14362089487042143,1)</f>
        <v/>
      </c>
      <c r="N39" s="4" t="inlineStr">
        <is>
          <t>N</t>
        </is>
      </c>
      <c r="O39" s="5" t="n">
        <v>17729</v>
      </c>
      <c r="P39" s="5">
        <f>ROUND(D39/O39,2)</f>
        <v/>
      </c>
      <c r="Q39" s="5" t="n">
        <v>0</v>
      </c>
      <c r="R39" s="4" t="inlineStr">
        <is>
          <t>Promotional</t>
        </is>
      </c>
      <c r="S39" s="4" t="inlineStr">
        <is>
          <t>New language variant (Italian) tested with Ticino audience; early ROAS 3.8x.</t>
        </is>
      </c>
    </row>
    <row r="40">
      <c r="A40" s="2" t="inlineStr">
        <is>
          <t>May</t>
        </is>
      </c>
      <c r="B40" s="2" t="inlineStr">
        <is>
          <t>YouTube</t>
        </is>
      </c>
      <c r="C40" s="3">
        <f>1395.42</f>
        <v/>
      </c>
      <c r="D40" s="3" t="n">
        <v>20160</v>
      </c>
      <c r="E40" s="3" t="n">
        <v>1229</v>
      </c>
      <c r="F40" s="3">
        <f>ROUND(E40/D40*100,2)</f>
        <v/>
      </c>
      <c r="G40" s="3" t="n">
        <v>101</v>
      </c>
      <c r="H40" s="3">
        <f>ROUND(G40/E40*100,2)</f>
        <v/>
      </c>
      <c r="I40" s="3">
        <f>5451.08</f>
        <v/>
      </c>
      <c r="J40" s="3">
        <f>ROUND(I40/C40,2)</f>
        <v/>
      </c>
      <c r="K40" s="3">
        <f>IF(G40&gt;0,ROUND(C40/G40,2),999)</f>
        <v/>
      </c>
      <c r="L40" s="3">
        <f>ROUND(C40/45000*100,2)</f>
        <v/>
      </c>
      <c r="M40" s="3">
        <f>ROUND(-3.3936721457796692,1)</f>
        <v/>
      </c>
      <c r="N40" s="2" t="inlineStr">
        <is>
          <t>N</t>
        </is>
      </c>
      <c r="O40" s="3" t="n">
        <v>12291</v>
      </c>
      <c r="P40" s="3">
        <f>ROUND(D40/O40,2)</f>
        <v/>
      </c>
      <c r="Q40" s="3" t="n">
        <v>2</v>
      </c>
      <c r="R40" s="2" t="inlineStr">
        <is>
          <t>Seasonal</t>
        </is>
      </c>
      <c r="S40" s="2" t="inlineStr">
        <is>
          <t>Strong CTR from geo-targeted campaigns. ROAS within target. Consider expanding budget.</t>
        </is>
      </c>
    </row>
    <row r="41">
      <c r="A41" s="4" t="inlineStr">
        <is>
          <t>May</t>
        </is>
      </c>
      <c r="B41" s="4" t="inlineStr">
        <is>
          <t>Display/Retargeting</t>
        </is>
      </c>
      <c r="C41" s="5">
        <f>970.20</f>
        <v/>
      </c>
      <c r="D41" s="5" t="n">
        <v>18912</v>
      </c>
      <c r="E41" s="5" t="n">
        <v>856</v>
      </c>
      <c r="F41" s="5">
        <f>ROUND(E41/D41*100,2)</f>
        <v/>
      </c>
      <c r="G41" s="5" t="n">
        <v>85</v>
      </c>
      <c r="H41" s="5">
        <f>ROUND(G41/E41*100,2)</f>
        <v/>
      </c>
      <c r="I41" s="5">
        <f>2900.80</f>
        <v/>
      </c>
      <c r="J41" s="5">
        <f>ROUND(I41/C41,2)</f>
        <v/>
      </c>
      <c r="K41" s="5">
        <f>IF(G41&gt;0,ROUND(C41/G41,2),999)</f>
        <v/>
      </c>
      <c r="L41" s="5">
        <f>ROUND(C41/45000*100,2)</f>
        <v/>
      </c>
      <c r="M41" s="5">
        <f>ROUND(-3.70283139778946,1)</f>
        <v/>
      </c>
      <c r="N41" s="4" t="inlineStr">
        <is>
          <t>N</t>
        </is>
      </c>
      <c r="O41" s="5" t="n">
        <v>5698</v>
      </c>
      <c r="P41" s="5">
        <f>ROUND(D41/O41,2)</f>
        <v/>
      </c>
      <c r="Q41" s="5" t="n">
        <v>1</v>
      </c>
      <c r="R41" s="4" t="inlineStr">
        <is>
          <t>Lifestyle</t>
        </is>
      </c>
      <c r="S41" s="4" t="inlineStr">
        <is>
          <t>Mobile optimization work resulted in CVR improvement of 12%.</t>
        </is>
      </c>
    </row>
    <row r="42">
      <c r="A42" s="2" t="inlineStr">
        <is>
          <t>Jun</t>
        </is>
      </c>
      <c r="B42" s="2" t="inlineStr">
        <is>
          <t>Google Brand Search</t>
        </is>
      </c>
      <c r="C42" s="3">
        <f>12152.01</f>
        <v/>
      </c>
      <c r="D42" s="3" t="n">
        <v>149229</v>
      </c>
      <c r="E42" s="3" t="n">
        <v>3269</v>
      </c>
      <c r="F42" s="3">
        <f>ROUND(E42/D42*100,2)</f>
        <v/>
      </c>
      <c r="G42" s="3" t="n">
        <v>324</v>
      </c>
      <c r="H42" s="3">
        <f>ROUND(G42/E42*100,2)</f>
        <v/>
      </c>
      <c r="I42" s="3">
        <f>50939.40</f>
        <v/>
      </c>
      <c r="J42" s="3">
        <f>ROUND(I42/C42,2)</f>
        <v/>
      </c>
      <c r="K42" s="3">
        <f>IF(G42&gt;0,ROUND(C42/G42,2),999)</f>
        <v/>
      </c>
      <c r="L42" s="3">
        <f>ROUND(C42/45000*100,2)</f>
        <v/>
      </c>
      <c r="M42" s="3">
        <f>ROUND(-2.5477793529730306,1)</f>
        <v/>
      </c>
      <c r="N42" s="2" t="inlineStr">
        <is>
          <t>Y</t>
        </is>
      </c>
      <c r="O42" s="3" t="n">
        <v>89406</v>
      </c>
      <c r="P42" s="3">
        <f>ROUND(D42/O42,2)</f>
        <v/>
      </c>
      <c r="Q42" s="3" t="n">
        <v>1</v>
      </c>
      <c r="R42" s="2" t="inlineStr">
        <is>
          <t>Seasonal</t>
        </is>
      </c>
      <c r="S42" s="2" t="inlineStr">
        <is>
          <t>Test of carousel ads showed 31% higher engagement than static images.</t>
        </is>
      </c>
    </row>
    <row r="43">
      <c r="A43" s="4" t="inlineStr">
        <is>
          <t>Jun</t>
        </is>
      </c>
      <c r="B43" s="4" t="inlineStr">
        <is>
          <t>Google Generic Search</t>
        </is>
      </c>
      <c r="C43" s="5">
        <f>10235.55</f>
        <v/>
      </c>
      <c r="D43" s="5" t="n">
        <v>93624</v>
      </c>
      <c r="E43" s="5" t="n">
        <v>2669</v>
      </c>
      <c r="F43" s="5">
        <f>ROUND(E43/D43*100,2)</f>
        <v/>
      </c>
      <c r="G43" s="5" t="n">
        <v>182</v>
      </c>
      <c r="H43" s="5">
        <f>ROUND(G43/E43*100,2)</f>
        <v/>
      </c>
      <c r="I43" s="5">
        <f>36595.74</f>
        <v/>
      </c>
      <c r="J43" s="5">
        <f>ROUND(I43/C43,2)</f>
        <v/>
      </c>
      <c r="K43" s="5">
        <f>IF(G43&gt;0,ROUND(C43/G43,2),999)</f>
        <v/>
      </c>
      <c r="L43" s="5">
        <f>ROUND(C43/45000*100,2)</f>
        <v/>
      </c>
      <c r="M43" s="5">
        <f>ROUND(3.7163165213365357,1)</f>
        <v/>
      </c>
      <c r="N43" s="4" t="inlineStr">
        <is>
          <t>N</t>
        </is>
      </c>
      <c r="O43" s="5" t="n">
        <v>31543</v>
      </c>
      <c r="P43" s="5">
        <f>ROUND(D43/O43,2)</f>
        <v/>
      </c>
      <c r="Q43" s="5" t="n">
        <v>1</v>
      </c>
      <c r="R43" s="4" t="inlineStr">
        <is>
          <t>UGC</t>
        </is>
      </c>
      <c r="S43" s="4" t="inlineStr">
        <is>
          <t>Weekend spend allocation improved conversion rate by 8%.</t>
        </is>
      </c>
    </row>
    <row r="44">
      <c r="A44" s="2" t="inlineStr">
        <is>
          <t>Jun</t>
        </is>
      </c>
      <c r="B44" s="2" t="inlineStr">
        <is>
          <t>Google Shopping</t>
        </is>
      </c>
      <c r="C44" s="3">
        <f>9445.16</f>
        <v/>
      </c>
      <c r="D44" s="3" t="n">
        <v>161148</v>
      </c>
      <c r="E44" s="3" t="n">
        <v>11378</v>
      </c>
      <c r="F44" s="3">
        <f>ROUND(E44/D44*100,2)</f>
        <v/>
      </c>
      <c r="G44" s="3" t="n">
        <v>735</v>
      </c>
      <c r="H44" s="3">
        <f>ROUND(G44/E44*100,2)</f>
        <v/>
      </c>
      <c r="I44" s="3">
        <f>39215.19</f>
        <v/>
      </c>
      <c r="J44" s="3">
        <f>ROUND(I44/C44,2)</f>
        <v/>
      </c>
      <c r="K44" s="3">
        <f>IF(G44&gt;0,ROUND(C44/G44,2),999)</f>
        <v/>
      </c>
      <c r="L44" s="3">
        <f>ROUND(C44/45000*100,2)</f>
        <v/>
      </c>
      <c r="M44" s="3">
        <f>ROUND(-2.326615766633753,1)</f>
        <v/>
      </c>
      <c r="N44" s="2" t="inlineStr">
        <is>
          <t>Y</t>
        </is>
      </c>
      <c r="O44" s="3" t="n">
        <v>87183</v>
      </c>
      <c r="P44" s="3">
        <f>ROUND(D44/O44,2)</f>
        <v/>
      </c>
      <c r="Q44" s="3" t="n">
        <v>3</v>
      </c>
      <c r="R44" s="2" t="inlineStr">
        <is>
          <t>Promotional</t>
        </is>
      </c>
      <c r="S44" s="2" t="inlineStr">
        <is>
          <t>New language variant (Italian) tested with Ticino audience; early ROAS 3.8x.</t>
        </is>
      </c>
    </row>
    <row r="45">
      <c r="A45" s="4" t="inlineStr">
        <is>
          <t>Jun</t>
        </is>
      </c>
      <c r="B45" s="4" t="inlineStr">
        <is>
          <t>Meta Prospecting</t>
        </is>
      </c>
      <c r="C45" s="5">
        <f>3878.22</f>
        <v/>
      </c>
      <c r="D45" s="5" t="n">
        <v>44155</v>
      </c>
      <c r="E45" s="5" t="n">
        <v>2953</v>
      </c>
      <c r="F45" s="5">
        <f>ROUND(E45/D45*100,2)</f>
        <v/>
      </c>
      <c r="G45" s="5" t="n">
        <v>123</v>
      </c>
      <c r="H45" s="5">
        <f>ROUND(G45/E45*100,2)</f>
        <v/>
      </c>
      <c r="I45" s="5">
        <f>8667.95</f>
        <v/>
      </c>
      <c r="J45" s="5">
        <f>ROUND(I45/C45,2)</f>
        <v/>
      </c>
      <c r="K45" s="5">
        <f>IF(G45&gt;0,ROUND(C45/G45,2),999)</f>
        <v/>
      </c>
      <c r="L45" s="5">
        <f>ROUND(C45/45000*100,2)</f>
        <v/>
      </c>
      <c r="M45" s="5">
        <f>ROUND(2.04453421162916,1)</f>
        <v/>
      </c>
      <c r="N45" s="4" t="inlineStr">
        <is>
          <t>N</t>
        </is>
      </c>
      <c r="O45" s="5" t="n">
        <v>16403</v>
      </c>
      <c r="P45" s="5">
        <f>ROUND(D45/O45,2)</f>
        <v/>
      </c>
      <c r="Q45" s="5" t="n">
        <v>1</v>
      </c>
      <c r="R45" s="4" t="inlineStr">
        <is>
          <t>Product Demo</t>
        </is>
      </c>
      <c r="S45" s="4" t="inlineStr">
        <is>
          <t>Competitor bidding increased CPC by 15%. Optimized ad copy reduced CAC.</t>
        </is>
      </c>
    </row>
    <row r="46">
      <c r="A46" s="2" t="inlineStr">
        <is>
          <t>Jun</t>
        </is>
      </c>
      <c r="B46" s="2" t="inlineStr">
        <is>
          <t>Meta Retargeting</t>
        </is>
      </c>
      <c r="C46" s="3">
        <f>2976.52</f>
        <v/>
      </c>
      <c r="D46" s="3" t="n">
        <v>51852</v>
      </c>
      <c r="E46" s="3" t="n">
        <v>2484</v>
      </c>
      <c r="F46" s="3">
        <f>ROUND(E46/D46*100,2)</f>
        <v/>
      </c>
      <c r="G46" s="3" t="n">
        <v>124</v>
      </c>
      <c r="H46" s="3">
        <f>ROUND(G46/E46*100,2)</f>
        <v/>
      </c>
      <c r="I46" s="3">
        <f>8784.89</f>
        <v/>
      </c>
      <c r="J46" s="3">
        <f>ROUND(I46/C46,2)</f>
        <v/>
      </c>
      <c r="K46" s="3">
        <f>IF(G46&gt;0,ROUND(C46/G46,2),999)</f>
        <v/>
      </c>
      <c r="L46" s="3">
        <f>ROUND(C46/45000*100,2)</f>
        <v/>
      </c>
      <c r="M46" s="3">
        <f>ROUND(3.152809299539494,1)</f>
        <v/>
      </c>
      <c r="N46" s="2" t="inlineStr">
        <is>
          <t>N</t>
        </is>
      </c>
      <c r="O46" s="3" t="n">
        <v>16615</v>
      </c>
      <c r="P46" s="3">
        <f>ROUND(D46/O46,2)</f>
        <v/>
      </c>
      <c r="Q46" s="3" t="n">
        <v>0</v>
      </c>
      <c r="R46" s="2" t="inlineStr">
        <is>
          <t>UGC</t>
        </is>
      </c>
      <c r="S46" s="2" t="inlineStr">
        <is>
          <t>Post-purchase follow-up ads reduced first-month churn by 7%.</t>
        </is>
      </c>
    </row>
    <row r="47">
      <c r="A47" s="4" t="inlineStr">
        <is>
          <t>Jun</t>
        </is>
      </c>
      <c r="B47" s="4" t="inlineStr">
        <is>
          <t>TikTok</t>
        </is>
      </c>
      <c r="C47" s="5">
        <f>2183.41</f>
        <v/>
      </c>
      <c r="D47" s="5" t="n">
        <v>40362</v>
      </c>
      <c r="E47" s="5" t="n">
        <v>2358</v>
      </c>
      <c r="F47" s="5">
        <f>ROUND(E47/D47*100,2)</f>
        <v/>
      </c>
      <c r="G47" s="5" t="n">
        <v>96</v>
      </c>
      <c r="H47" s="5">
        <f>ROUND(G47/E47*100,2)</f>
        <v/>
      </c>
      <c r="I47" s="5">
        <f>6600.16</f>
        <v/>
      </c>
      <c r="J47" s="5">
        <f>ROUND(I47/C47,2)</f>
        <v/>
      </c>
      <c r="K47" s="5">
        <f>IF(G47&gt;0,ROUND(C47/G47,2),999)</f>
        <v/>
      </c>
      <c r="L47" s="5">
        <f>ROUND(C47/45000*100,2)</f>
        <v/>
      </c>
      <c r="M47" s="5">
        <f>ROUND(5.045082438924203,1)</f>
        <v/>
      </c>
      <c r="N47" s="4" t="inlineStr">
        <is>
          <t>N</t>
        </is>
      </c>
      <c r="O47" s="5" t="n">
        <v>21744</v>
      </c>
      <c r="P47" s="5">
        <f>ROUND(D47/O47,2)</f>
        <v/>
      </c>
      <c r="Q47" s="5" t="n">
        <v>1</v>
      </c>
      <c r="R47" s="4" t="inlineStr">
        <is>
          <t>Product Demo</t>
        </is>
      </c>
      <c r="S47" s="4" t="inlineStr">
        <is>
          <t>Competitor price drop required messaging adjustment; maintained margin.</t>
        </is>
      </c>
    </row>
    <row r="48">
      <c r="A48" s="2" t="inlineStr">
        <is>
          <t>Jun</t>
        </is>
      </c>
      <c r="B48" s="2" t="inlineStr">
        <is>
          <t>YouTube</t>
        </is>
      </c>
      <c r="C48" s="3">
        <f>1401.46</f>
        <v/>
      </c>
      <c r="D48" s="3" t="n">
        <v>17215</v>
      </c>
      <c r="E48" s="3" t="n">
        <v>747</v>
      </c>
      <c r="F48" s="3">
        <f>ROUND(E48/D48*100,2)</f>
        <v/>
      </c>
      <c r="G48" s="3" t="n">
        <v>45</v>
      </c>
      <c r="H48" s="3">
        <f>ROUND(G48/E48*100,2)</f>
        <v/>
      </c>
      <c r="I48" s="3">
        <f>5014.06</f>
        <v/>
      </c>
      <c r="J48" s="3">
        <f>ROUND(I48/C48,2)</f>
        <v/>
      </c>
      <c r="K48" s="3">
        <f>IF(G48&gt;0,ROUND(C48/G48,2),999)</f>
        <v/>
      </c>
      <c r="L48" s="3">
        <f>ROUND(C48/45000*100,2)</f>
        <v/>
      </c>
      <c r="M48" s="3">
        <f>ROUND(3.8987925351764168,1)</f>
        <v/>
      </c>
      <c r="N48" s="2" t="inlineStr">
        <is>
          <t>N</t>
        </is>
      </c>
      <c r="O48" s="3" t="n">
        <v>5560</v>
      </c>
      <c r="P48" s="3">
        <f>ROUND(D48/O48,2)</f>
        <v/>
      </c>
      <c r="Q48" s="3" t="n">
        <v>0</v>
      </c>
      <c r="R48" s="2" t="inlineStr">
        <is>
          <t>Promotional</t>
        </is>
      </c>
      <c r="S48" s="2" t="inlineStr">
        <is>
          <t>Test of carousel ads showed 31% higher engagement than static images.</t>
        </is>
      </c>
    </row>
    <row r="49">
      <c r="A49" s="4" t="inlineStr">
        <is>
          <t>Jun</t>
        </is>
      </c>
      <c r="B49" s="4" t="inlineStr">
        <is>
          <t>Display/Retargeting</t>
        </is>
      </c>
      <c r="C49" s="5">
        <f>842.99</f>
        <v/>
      </c>
      <c r="D49" s="5" t="n">
        <v>13444</v>
      </c>
      <c r="E49" s="5" t="n">
        <v>1005</v>
      </c>
      <c r="F49" s="5">
        <f>ROUND(E49/D49*100,2)</f>
        <v/>
      </c>
      <c r="G49" s="5" t="n">
        <v>53</v>
      </c>
      <c r="H49" s="5">
        <f>ROUND(G49/E49*100,2)</f>
        <v/>
      </c>
      <c r="I49" s="5">
        <f>2464.39</f>
        <v/>
      </c>
      <c r="J49" s="5">
        <f>ROUND(I49/C49,2)</f>
        <v/>
      </c>
      <c r="K49" s="5">
        <f>IF(G49&gt;0,ROUND(C49/G49,2),999)</f>
        <v/>
      </c>
      <c r="L49" s="5">
        <f>ROUND(C49/45000*100,2)</f>
        <v/>
      </c>
      <c r="M49" s="5">
        <f>ROUND(-3.177372201859227,1)</f>
        <v/>
      </c>
      <c r="N49" s="4" t="inlineStr">
        <is>
          <t>N</t>
        </is>
      </c>
      <c r="O49" s="5" t="n">
        <v>4878</v>
      </c>
      <c r="P49" s="5">
        <f>ROUND(D49/O49,2)</f>
        <v/>
      </c>
      <c r="Q49" s="5" t="n">
        <v>1</v>
      </c>
      <c r="R49" s="4" t="inlineStr">
        <is>
          <t>Educational</t>
        </is>
      </c>
      <c r="S49" s="4" t="inlineStr">
        <is>
          <t>Video content format tested; CPV 18% below benchmark average.</t>
        </is>
      </c>
    </row>
    <row r="50">
      <c r="A50" s="2" t="inlineStr">
        <is>
          <t>Jul</t>
        </is>
      </c>
      <c r="B50" s="2" t="inlineStr">
        <is>
          <t>Google Brand Search</t>
        </is>
      </c>
      <c r="C50" s="3">
        <f>13877.18</f>
        <v/>
      </c>
      <c r="D50" s="3" t="n">
        <v>139390</v>
      </c>
      <c r="E50" s="3" t="n">
        <v>5333</v>
      </c>
      <c r="F50" s="3">
        <f>ROUND(E50/D50*100,2)</f>
        <v/>
      </c>
      <c r="G50" s="3" t="n">
        <v>342</v>
      </c>
      <c r="H50" s="3">
        <f>ROUND(G50/E50*100,2)</f>
        <v/>
      </c>
      <c r="I50" s="3">
        <f>60115.36</f>
        <v/>
      </c>
      <c r="J50" s="3">
        <f>ROUND(I50/C50,2)</f>
        <v/>
      </c>
      <c r="K50" s="3">
        <f>IF(G50&gt;0,ROUND(C50/G50,2),999)</f>
        <v/>
      </c>
      <c r="L50" s="3">
        <f>ROUND(C50/45000*100,2)</f>
        <v/>
      </c>
      <c r="M50" s="3">
        <f>ROUND(5.173540841672759,1)</f>
        <v/>
      </c>
      <c r="N50" s="2" t="inlineStr">
        <is>
          <t>Y</t>
        </is>
      </c>
      <c r="O50" s="3" t="n">
        <v>73673</v>
      </c>
      <c r="P50" s="3">
        <f>ROUND(D50/O50,2)</f>
        <v/>
      </c>
      <c r="Q50" s="3" t="n">
        <v>0</v>
      </c>
      <c r="R50" s="2" t="inlineStr">
        <is>
          <t>Seasonal</t>
        </is>
      </c>
      <c r="S50" s="2" t="inlineStr">
        <is>
          <t>New language variant (Italian) tested with Ticino audience; early ROAS 3.8x.</t>
        </is>
      </c>
    </row>
    <row r="51">
      <c r="A51" s="4" t="inlineStr">
        <is>
          <t>Jul</t>
        </is>
      </c>
      <c r="B51" s="4" t="inlineStr">
        <is>
          <t>Google Generic Search</t>
        </is>
      </c>
      <c r="C51" s="5">
        <f>12263.27</f>
        <v/>
      </c>
      <c r="D51" s="5" t="n">
        <v>204132</v>
      </c>
      <c r="E51" s="5" t="n">
        <v>7352</v>
      </c>
      <c r="F51" s="5">
        <f>ROUND(E51/D51*100,2)</f>
        <v/>
      </c>
      <c r="G51" s="5" t="n">
        <v>663</v>
      </c>
      <c r="H51" s="5">
        <f>ROUND(G51/E51*100,2)</f>
        <v/>
      </c>
      <c r="I51" s="5">
        <f>41499.98</f>
        <v/>
      </c>
      <c r="J51" s="5">
        <f>ROUND(I51/C51,2)</f>
        <v/>
      </c>
      <c r="K51" s="5">
        <f>IF(G51&gt;0,ROUND(C51/G51,2),999)</f>
        <v/>
      </c>
      <c r="L51" s="5">
        <f>ROUND(C51/45000*100,2)</f>
        <v/>
      </c>
      <c r="M51" s="5">
        <f>ROUND(2.5215793393197665,1)</f>
        <v/>
      </c>
      <c r="N51" s="4" t="inlineStr">
        <is>
          <t>N</t>
        </is>
      </c>
      <c r="O51" s="5" t="n">
        <v>62951</v>
      </c>
      <c r="P51" s="5">
        <f>ROUND(D51/O51,2)</f>
        <v/>
      </c>
      <c r="Q51" s="5" t="n">
        <v>3</v>
      </c>
      <c r="R51" s="4" t="inlineStr">
        <is>
          <t>Educational</t>
        </is>
      </c>
      <c r="S51" s="4" t="inlineStr">
        <is>
          <t>Mobile optimization work resulted in CVR improvement of 12%.</t>
        </is>
      </c>
    </row>
    <row r="52">
      <c r="A52" s="2" t="inlineStr">
        <is>
          <t>Jul</t>
        </is>
      </c>
      <c r="B52" s="2" t="inlineStr">
        <is>
          <t>Google Shopping</t>
        </is>
      </c>
      <c r="C52" s="3">
        <f>8230.42</f>
        <v/>
      </c>
      <c r="D52" s="3" t="n">
        <v>129227</v>
      </c>
      <c r="E52" s="3" t="n">
        <v>10145</v>
      </c>
      <c r="F52" s="3">
        <f>ROUND(E52/D52*100,2)</f>
        <v/>
      </c>
      <c r="G52" s="3" t="n">
        <v>792</v>
      </c>
      <c r="H52" s="3">
        <f>ROUND(G52/E52*100,2)</f>
        <v/>
      </c>
      <c r="I52" s="3">
        <f>29608.10</f>
        <v/>
      </c>
      <c r="J52" s="3">
        <f>ROUND(I52/C52,2)</f>
        <v/>
      </c>
      <c r="K52" s="3">
        <f>IF(G52&gt;0,ROUND(C52/G52,2),999)</f>
        <v/>
      </c>
      <c r="L52" s="3">
        <f>ROUND(C52/45000*100,2)</f>
        <v/>
      </c>
      <c r="M52" s="3">
        <f>ROUND(3.4948826070205543,1)</f>
        <v/>
      </c>
      <c r="N52" s="2" t="inlineStr">
        <is>
          <t>N</t>
        </is>
      </c>
      <c r="O52" s="3" t="n">
        <v>74661</v>
      </c>
      <c r="P52" s="3">
        <f>ROUND(D52/O52,2)</f>
        <v/>
      </c>
      <c r="Q52" s="3" t="n">
        <v>2</v>
      </c>
      <c r="R52" s="2" t="inlineStr">
        <is>
          <t>Lifestyle</t>
        </is>
      </c>
      <c r="S52" s="2" t="inlineStr">
        <is>
          <t>New influencer partnership drove 2,400 impressions in organic reach.</t>
        </is>
      </c>
    </row>
    <row r="53">
      <c r="A53" s="4" t="inlineStr">
        <is>
          <t>Jul</t>
        </is>
      </c>
      <c r="B53" s="4" t="inlineStr">
        <is>
          <t>Meta Prospecting</t>
        </is>
      </c>
      <c r="C53" s="5">
        <f>3415.49</f>
        <v/>
      </c>
      <c r="D53" s="5" t="n">
        <v>29816</v>
      </c>
      <c r="E53" s="5" t="n">
        <v>2231</v>
      </c>
      <c r="F53" s="5">
        <f>ROUND(E53/D53*100,2)</f>
        <v/>
      </c>
      <c r="G53" s="5" t="n">
        <v>155</v>
      </c>
      <c r="H53" s="5">
        <f>ROUND(G53/E53*100,2)</f>
        <v/>
      </c>
      <c r="I53" s="5">
        <f>7346.82</f>
        <v/>
      </c>
      <c r="J53" s="5">
        <f>ROUND(I53/C53,2)</f>
        <v/>
      </c>
      <c r="K53" s="5">
        <f>IF(G53&gt;0,ROUND(C53/G53,2),999)</f>
        <v/>
      </c>
      <c r="L53" s="5">
        <f>ROUND(C53/45000*100,2)</f>
        <v/>
      </c>
      <c r="M53" s="5">
        <f>ROUND(-2.197633953319605,1)</f>
        <v/>
      </c>
      <c r="N53" s="4" t="inlineStr">
        <is>
          <t>N</t>
        </is>
      </c>
      <c r="O53" s="5" t="n">
        <v>16177</v>
      </c>
      <c r="P53" s="5">
        <f>ROUND(D53/O53,2)</f>
        <v/>
      </c>
      <c r="Q53" s="5" t="n">
        <v>1</v>
      </c>
      <c r="R53" s="4" t="inlineStr">
        <is>
          <t>Lifestyle</t>
        </is>
      </c>
      <c r="S53" s="4" t="inlineStr">
        <is>
          <t>Seasonal messaging resonated with Health-Conscious Professionals segment.</t>
        </is>
      </c>
    </row>
    <row r="54">
      <c r="A54" s="2" t="inlineStr">
        <is>
          <t>Jul</t>
        </is>
      </c>
      <c r="B54" s="2" t="inlineStr">
        <is>
          <t>Meta Retargeting</t>
        </is>
      </c>
      <c r="C54" s="3">
        <f>2956.54</f>
        <v/>
      </c>
      <c r="D54" s="3" t="n">
        <v>44662</v>
      </c>
      <c r="E54" s="3" t="n">
        <v>2181</v>
      </c>
      <c r="F54" s="3">
        <f>ROUND(E54/D54*100,2)</f>
        <v/>
      </c>
      <c r="G54" s="3" t="n">
        <v>137</v>
      </c>
      <c r="H54" s="3">
        <f>ROUND(G54/E54*100,2)</f>
        <v/>
      </c>
      <c r="I54" s="3">
        <f>10458.94</f>
        <v/>
      </c>
      <c r="J54" s="3">
        <f>ROUND(I54/C54,2)</f>
        <v/>
      </c>
      <c r="K54" s="3">
        <f>IF(G54&gt;0,ROUND(C54/G54,2),999)</f>
        <v/>
      </c>
      <c r="L54" s="3">
        <f>ROUND(C54/45000*100,2)</f>
        <v/>
      </c>
      <c r="M54" s="3">
        <f>ROUND(-2.601209254379115,1)</f>
        <v/>
      </c>
      <c r="N54" s="2" t="inlineStr">
        <is>
          <t>N</t>
        </is>
      </c>
      <c r="O54" s="3" t="n">
        <v>22279</v>
      </c>
      <c r="P54" s="3">
        <f>ROUND(D54/O54,2)</f>
        <v/>
      </c>
      <c r="Q54" s="3" t="n">
        <v>0</v>
      </c>
      <c r="R54" s="2" t="inlineStr">
        <is>
          <t>UGC</t>
        </is>
      </c>
      <c r="S54" s="2" t="inlineStr">
        <is>
          <t>Retargeting pixel optimization refined audience, improved ROAS to 4.8x.</t>
        </is>
      </c>
    </row>
    <row r="55">
      <c r="A55" s="4" t="inlineStr">
        <is>
          <t>Jul</t>
        </is>
      </c>
      <c r="B55" s="4" t="inlineStr">
        <is>
          <t>TikTok</t>
        </is>
      </c>
      <c r="C55" s="5">
        <f>2144.62</f>
        <v/>
      </c>
      <c r="D55" s="5" t="n">
        <v>30283</v>
      </c>
      <c r="E55" s="5" t="n">
        <v>2147</v>
      </c>
      <c r="F55" s="5">
        <f>ROUND(E55/D55*100,2)</f>
        <v/>
      </c>
      <c r="G55" s="5" t="n">
        <v>193</v>
      </c>
      <c r="H55" s="5">
        <f>ROUND(G55/E55*100,2)</f>
        <v/>
      </c>
      <c r="I55" s="5">
        <f>5820.87</f>
        <v/>
      </c>
      <c r="J55" s="5">
        <f>ROUND(I55/C55,2)</f>
        <v/>
      </c>
      <c r="K55" s="5">
        <f>IF(G55&gt;0,ROUND(C55/G55,2),999)</f>
        <v/>
      </c>
      <c r="L55" s="5">
        <f>ROUND(C55/45000*100,2)</f>
        <v/>
      </c>
      <c r="M55" s="5">
        <f>ROUND(4.118757788089244,1)</f>
        <v/>
      </c>
      <c r="N55" s="4" t="inlineStr">
        <is>
          <t>N</t>
        </is>
      </c>
      <c r="O55" s="5" t="n">
        <v>16474</v>
      </c>
      <c r="P55" s="5">
        <f>ROUND(D55/O55,2)</f>
        <v/>
      </c>
      <c r="Q55" s="5" t="n">
        <v>3</v>
      </c>
      <c r="R55" s="4" t="inlineStr">
        <is>
          <t>Promotional</t>
        </is>
      </c>
      <c r="S55" s="4" t="inlineStr">
        <is>
          <t>Inventory constraints forced pause of top-performing creative for 5 days.</t>
        </is>
      </c>
    </row>
    <row r="56">
      <c r="A56" s="2" t="inlineStr">
        <is>
          <t>Jul</t>
        </is>
      </c>
      <c r="B56" s="2" t="inlineStr">
        <is>
          <t>YouTube</t>
        </is>
      </c>
      <c r="C56" s="3">
        <f>1274.24</f>
        <v/>
      </c>
      <c r="D56" s="3" t="n">
        <v>21299</v>
      </c>
      <c r="E56" s="3" t="n">
        <v>1402</v>
      </c>
      <c r="F56" s="3">
        <f>ROUND(E56/D56*100,2)</f>
        <v/>
      </c>
      <c r="G56" s="3" t="n">
        <v>102</v>
      </c>
      <c r="H56" s="3">
        <f>ROUND(G56/E56*100,2)</f>
        <v/>
      </c>
      <c r="I56" s="3">
        <f>4255.33</f>
        <v/>
      </c>
      <c r="J56" s="3">
        <f>ROUND(I56/C56,2)</f>
        <v/>
      </c>
      <c r="K56" s="3">
        <f>IF(G56&gt;0,ROUND(C56/G56,2),999)</f>
        <v/>
      </c>
      <c r="L56" s="3">
        <f>ROUND(C56/45000*100,2)</f>
        <v/>
      </c>
      <c r="M56" s="3">
        <f>ROUND(-3.03866976958186,1)</f>
        <v/>
      </c>
      <c r="N56" s="2" t="inlineStr">
        <is>
          <t>N</t>
        </is>
      </c>
      <c r="O56" s="3" t="n">
        <v>13510</v>
      </c>
      <c r="P56" s="3">
        <f>ROUND(D56/O56,2)</f>
        <v/>
      </c>
      <c r="Q56" s="3" t="n">
        <v>0</v>
      </c>
      <c r="R56" s="2" t="inlineStr">
        <is>
          <t>Seasonal</t>
        </is>
      </c>
      <c r="S56" s="2" t="inlineStr">
        <is>
          <t>Seasonal messaging resonated with Health-Conscious Professionals segment.</t>
        </is>
      </c>
    </row>
    <row r="57">
      <c r="A57" s="4" t="inlineStr">
        <is>
          <t>Jul</t>
        </is>
      </c>
      <c r="B57" s="4" t="inlineStr">
        <is>
          <t>Display/Retargeting</t>
        </is>
      </c>
      <c r="C57" s="5">
        <f>891.69</f>
        <v/>
      </c>
      <c r="D57" s="5" t="n">
        <v>12871</v>
      </c>
      <c r="E57" s="5" t="n">
        <v>645</v>
      </c>
      <c r="F57" s="5">
        <f>ROUND(E57/D57*100,2)</f>
        <v/>
      </c>
      <c r="G57" s="5" t="n">
        <v>42</v>
      </c>
      <c r="H57" s="5">
        <f>ROUND(G57/E57*100,2)</f>
        <v/>
      </c>
      <c r="I57" s="5">
        <f>2822.54</f>
        <v/>
      </c>
      <c r="J57" s="5">
        <f>ROUND(I57/C57,2)</f>
        <v/>
      </c>
      <c r="K57" s="5">
        <f>IF(G57&gt;0,ROUND(C57/G57,2),999)</f>
        <v/>
      </c>
      <c r="L57" s="5">
        <f>ROUND(C57/45000*100,2)</f>
        <v/>
      </c>
      <c r="M57" s="5">
        <f>ROUND(0.6159267953806827,1)</f>
        <v/>
      </c>
      <c r="N57" s="4" t="inlineStr">
        <is>
          <t>N</t>
        </is>
      </c>
      <c r="O57" s="5" t="n">
        <v>4972</v>
      </c>
      <c r="P57" s="5">
        <f>ROUND(D57/O57,2)</f>
        <v/>
      </c>
      <c r="Q57" s="5" t="n">
        <v>0</v>
      </c>
      <c r="R57" s="4" t="inlineStr">
        <is>
          <t>UGC</t>
        </is>
      </c>
      <c r="S57" s="4" t="inlineStr">
        <is>
          <t>Email nurture sequence integrated with paid ads improved retention by 9%.</t>
        </is>
      </c>
    </row>
    <row r="58">
      <c r="A58" s="2" t="inlineStr">
        <is>
          <t>Aug</t>
        </is>
      </c>
      <c r="B58" s="2" t="inlineStr">
        <is>
          <t>Google Brand Search</t>
        </is>
      </c>
      <c r="C58" s="3">
        <f>13771.95</f>
        <v/>
      </c>
      <c r="D58" s="3" t="n">
        <v>139087</v>
      </c>
      <c r="E58" s="3" t="n">
        <v>3187</v>
      </c>
      <c r="F58" s="3">
        <f>ROUND(E58/D58*100,2)</f>
        <v/>
      </c>
      <c r="G58" s="3" t="n">
        <v>176</v>
      </c>
      <c r="H58" s="3">
        <f>ROUND(G58/E58*100,2)</f>
        <v/>
      </c>
      <c r="I58" s="3">
        <f>60977.09</f>
        <v/>
      </c>
      <c r="J58" s="3">
        <f>ROUND(I58/C58,2)</f>
        <v/>
      </c>
      <c r="K58" s="3">
        <f>IF(G58&gt;0,ROUND(C58/G58,2),999)</f>
        <v/>
      </c>
      <c r="L58" s="3">
        <f>ROUND(C58/45000*100,2)</f>
        <v/>
      </c>
      <c r="M58" s="3">
        <f>ROUND(3.56551802764411,1)</f>
        <v/>
      </c>
      <c r="N58" s="2" t="inlineStr">
        <is>
          <t>Y</t>
        </is>
      </c>
      <c r="O58" s="3" t="n">
        <v>73571</v>
      </c>
      <c r="P58" s="3">
        <f>ROUND(D58/O58,2)</f>
        <v/>
      </c>
      <c r="Q58" s="3" t="n">
        <v>1</v>
      </c>
      <c r="R58" s="2" t="inlineStr">
        <is>
          <t>Educational</t>
        </is>
      </c>
      <c r="S58" s="2" t="inlineStr">
        <is>
          <t>Weekend spend allocation improved conversion rate by 8%.</t>
        </is>
      </c>
    </row>
    <row r="59">
      <c r="A59" s="4" t="inlineStr">
        <is>
          <t>Aug</t>
        </is>
      </c>
      <c r="B59" s="4" t="inlineStr">
        <is>
          <t>Google Generic Search</t>
        </is>
      </c>
      <c r="C59" s="5">
        <f>12045.97</f>
        <v/>
      </c>
      <c r="D59" s="5" t="n">
        <v>113862</v>
      </c>
      <c r="E59" s="5" t="n">
        <v>6554</v>
      </c>
      <c r="F59" s="5">
        <f>ROUND(E59/D59*100,2)</f>
        <v/>
      </c>
      <c r="G59" s="5" t="n">
        <v>574</v>
      </c>
      <c r="H59" s="5">
        <f>ROUND(G59/E59*100,2)</f>
        <v/>
      </c>
      <c r="I59" s="5">
        <f>45296.77</f>
        <v/>
      </c>
      <c r="J59" s="5">
        <f>ROUND(I59/C59,2)</f>
        <v/>
      </c>
      <c r="K59" s="5">
        <f>IF(G59&gt;0,ROUND(C59/G59,2),999)</f>
        <v/>
      </c>
      <c r="L59" s="5">
        <f>ROUND(C59/45000*100,2)</f>
        <v/>
      </c>
      <c r="M59" s="5">
        <f>ROUND(-2.875034127104726,1)</f>
        <v/>
      </c>
      <c r="N59" s="4" t="inlineStr">
        <is>
          <t>N</t>
        </is>
      </c>
      <c r="O59" s="5" t="n">
        <v>52654</v>
      </c>
      <c r="P59" s="5">
        <f>ROUND(D59/O59,2)</f>
        <v/>
      </c>
      <c r="Q59" s="5" t="n">
        <v>3</v>
      </c>
      <c r="R59" s="4" t="inlineStr">
        <is>
          <t>Product Demo</t>
        </is>
      </c>
      <c r="S59" s="4" t="inlineStr">
        <is>
          <t>Dayparting analysis showed peak performance 7-9 PM weekdays.</t>
        </is>
      </c>
    </row>
    <row r="60">
      <c r="A60" s="2" t="inlineStr">
        <is>
          <t>Aug</t>
        </is>
      </c>
      <c r="B60" s="2" t="inlineStr">
        <is>
          <t>Google Shopping</t>
        </is>
      </c>
      <c r="C60" s="3">
        <f>8731.46</f>
        <v/>
      </c>
      <c r="D60" s="3" t="n">
        <v>167959</v>
      </c>
      <c r="E60" s="3" t="n">
        <v>6201</v>
      </c>
      <c r="F60" s="3">
        <f>ROUND(E60/D60*100,2)</f>
        <v/>
      </c>
      <c r="G60" s="3" t="n">
        <v>353</v>
      </c>
      <c r="H60" s="3">
        <f>ROUND(G60/E60*100,2)</f>
        <v/>
      </c>
      <c r="I60" s="3">
        <f>31594.95</f>
        <v/>
      </c>
      <c r="J60" s="3">
        <f>ROUND(I60/C60,2)</f>
        <v/>
      </c>
      <c r="K60" s="3">
        <f>IF(G60&gt;0,ROUND(C60/G60,2),999)</f>
        <v/>
      </c>
      <c r="L60" s="3">
        <f>ROUND(C60/45000*100,2)</f>
        <v/>
      </c>
      <c r="M60" s="3">
        <f>ROUND(2.982689460017945,1)</f>
        <v/>
      </c>
      <c r="N60" s="2" t="inlineStr">
        <is>
          <t>N</t>
        </is>
      </c>
      <c r="O60" s="3" t="n">
        <v>76803</v>
      </c>
      <c r="P60" s="3">
        <f>ROUND(D60/O60,2)</f>
        <v/>
      </c>
      <c r="Q60" s="3" t="n">
        <v>1</v>
      </c>
      <c r="R60" s="2" t="inlineStr">
        <is>
          <t>UGC</t>
        </is>
      </c>
      <c r="S60" s="2" t="inlineStr">
        <is>
          <t>Competitor price drop required messaging adjustment; maintained margin.</t>
        </is>
      </c>
    </row>
    <row r="61">
      <c r="A61" s="4" t="inlineStr">
        <is>
          <t>Aug</t>
        </is>
      </c>
      <c r="B61" s="4" t="inlineStr">
        <is>
          <t>Meta Prospecting</t>
        </is>
      </c>
      <c r="C61" s="5">
        <f>3322.75</f>
        <v/>
      </c>
      <c r="D61" s="5" t="n">
        <v>51934</v>
      </c>
      <c r="E61" s="5" t="n">
        <v>2335</v>
      </c>
      <c r="F61" s="5">
        <f>ROUND(E61/D61*100,2)</f>
        <v/>
      </c>
      <c r="G61" s="5" t="n">
        <v>139</v>
      </c>
      <c r="H61" s="5">
        <f>ROUND(G61/E61*100,2)</f>
        <v/>
      </c>
      <c r="I61" s="5">
        <f>6845.75</f>
        <v/>
      </c>
      <c r="J61" s="5">
        <f>ROUND(I61/C61,2)</f>
        <v/>
      </c>
      <c r="K61" s="5">
        <f>IF(G61&gt;0,ROUND(C61/G61,2),999)</f>
        <v/>
      </c>
      <c r="L61" s="5">
        <f>ROUND(C61/45000*100,2)</f>
        <v/>
      </c>
      <c r="M61" s="5">
        <f>ROUND(-3.0213457904724668,1)</f>
        <v/>
      </c>
      <c r="N61" s="4" t="inlineStr">
        <is>
          <t>N</t>
        </is>
      </c>
      <c r="O61" s="5" t="n">
        <v>31067</v>
      </c>
      <c r="P61" s="5">
        <f>ROUND(D61/O61,2)</f>
        <v/>
      </c>
      <c r="Q61" s="5" t="n">
        <v>0</v>
      </c>
      <c r="R61" s="4" t="inlineStr">
        <is>
          <t>Product Demo</t>
        </is>
      </c>
      <c r="S61" s="4" t="inlineStr">
        <is>
          <t>Mobile optimization work resulted in CVR improvement of 12%.</t>
        </is>
      </c>
    </row>
    <row r="62">
      <c r="A62" s="2" t="inlineStr">
        <is>
          <t>Aug</t>
        </is>
      </c>
      <c r="B62" s="2" t="inlineStr">
        <is>
          <t>Meta Retargeting</t>
        </is>
      </c>
      <c r="C62" s="3">
        <f>2861.36</f>
        <v/>
      </c>
      <c r="D62" s="3" t="n">
        <v>28612</v>
      </c>
      <c r="E62" s="3" t="n">
        <v>1478</v>
      </c>
      <c r="F62" s="3">
        <f>ROUND(E62/D62*100,2)</f>
        <v/>
      </c>
      <c r="G62" s="3" t="n">
        <v>89</v>
      </c>
      <c r="H62" s="3">
        <f>ROUND(G62/E62*100,2)</f>
        <v/>
      </c>
      <c r="I62" s="3">
        <f>9536.00</f>
        <v/>
      </c>
      <c r="J62" s="3">
        <f>ROUND(I62/C62,2)</f>
        <v/>
      </c>
      <c r="K62" s="3">
        <f>IF(G62&gt;0,ROUND(C62/G62,2),999)</f>
        <v/>
      </c>
      <c r="L62" s="3">
        <f>ROUND(C62/45000*100,2)</f>
        <v/>
      </c>
      <c r="M62" s="3">
        <f>ROUND(0.6823769171870875,1)</f>
        <v/>
      </c>
      <c r="N62" s="2" t="inlineStr">
        <is>
          <t>N</t>
        </is>
      </c>
      <c r="O62" s="3" t="n">
        <v>14989</v>
      </c>
      <c r="P62" s="3">
        <f>ROUND(D62/O62,2)</f>
        <v/>
      </c>
      <c r="Q62" s="3" t="n">
        <v>1</v>
      </c>
      <c r="R62" s="2" t="inlineStr">
        <is>
          <t>UGC</t>
        </is>
      </c>
      <c r="S62" s="2" t="inlineStr">
        <is>
          <t>Audience lookalike expansion successful; CAC at 18-month low.</t>
        </is>
      </c>
    </row>
    <row r="63">
      <c r="A63" s="4" t="inlineStr">
        <is>
          <t>Aug</t>
        </is>
      </c>
      <c r="B63" s="4" t="inlineStr">
        <is>
          <t>TikTok</t>
        </is>
      </c>
      <c r="C63" s="5">
        <f>2371.91</f>
        <v/>
      </c>
      <c r="D63" s="5" t="n">
        <v>31686</v>
      </c>
      <c r="E63" s="5" t="n">
        <v>789</v>
      </c>
      <c r="F63" s="5">
        <f>ROUND(E63/D63*100,2)</f>
        <v/>
      </c>
      <c r="G63" s="5" t="n">
        <v>59</v>
      </c>
      <c r="H63" s="5">
        <f>ROUND(G63/E63*100,2)</f>
        <v/>
      </c>
      <c r="I63" s="5">
        <f>7009.66</f>
        <v/>
      </c>
      <c r="J63" s="5">
        <f>ROUND(I63/C63,2)</f>
        <v/>
      </c>
      <c r="K63" s="5">
        <f>IF(G63&gt;0,ROUND(C63/G63,2),999)</f>
        <v/>
      </c>
      <c r="L63" s="5">
        <f>ROUND(C63/45000*100,2)</f>
        <v/>
      </c>
      <c r="M63" s="5">
        <f>ROUND(-4.350581374641709,1)</f>
        <v/>
      </c>
      <c r="N63" s="4" t="inlineStr">
        <is>
          <t>N</t>
        </is>
      </c>
      <c r="O63" s="5" t="n">
        <v>12621</v>
      </c>
      <c r="P63" s="5">
        <f>ROUND(D63/O63,2)</f>
        <v/>
      </c>
      <c r="Q63" s="5" t="n">
        <v>2</v>
      </c>
      <c r="R63" s="4" t="inlineStr">
        <is>
          <t>Educational</t>
        </is>
      </c>
      <c r="S63" s="4" t="inlineStr">
        <is>
          <t>Mobile optimization work resulted in CVR improvement of 12%.</t>
        </is>
      </c>
    </row>
    <row r="64">
      <c r="A64" s="2" t="inlineStr">
        <is>
          <t>Aug</t>
        </is>
      </c>
      <c r="B64" s="2" t="inlineStr">
        <is>
          <t>YouTube</t>
        </is>
      </c>
      <c r="C64" s="3">
        <f>1410.39</f>
        <v/>
      </c>
      <c r="D64" s="3" t="n">
        <v>27888</v>
      </c>
      <c r="E64" s="3" t="n">
        <v>839</v>
      </c>
      <c r="F64" s="3">
        <f>ROUND(E64/D64*100,2)</f>
        <v/>
      </c>
      <c r="G64" s="3" t="n">
        <v>42</v>
      </c>
      <c r="H64" s="3">
        <f>ROUND(G64/E64*100,2)</f>
        <v/>
      </c>
      <c r="I64" s="3">
        <f>4768.99</f>
        <v/>
      </c>
      <c r="J64" s="3">
        <f>ROUND(I64/C64,2)</f>
        <v/>
      </c>
      <c r="K64" s="3">
        <f>IF(G64&gt;0,ROUND(C64/G64,2),999)</f>
        <v/>
      </c>
      <c r="L64" s="3">
        <f>ROUND(C64/45000*100,2)</f>
        <v/>
      </c>
      <c r="M64" s="3">
        <f>ROUND(-2.6217407087915983,1)</f>
        <v/>
      </c>
      <c r="N64" s="2" t="inlineStr">
        <is>
          <t>N</t>
        </is>
      </c>
      <c r="O64" s="3" t="n">
        <v>15910</v>
      </c>
      <c r="P64" s="3">
        <f>ROUND(D64/O64,2)</f>
        <v/>
      </c>
      <c r="Q64" s="3" t="n">
        <v>3</v>
      </c>
      <c r="R64" s="2" t="inlineStr">
        <is>
          <t>Educational</t>
        </is>
      </c>
      <c r="S64" s="2" t="inlineStr">
        <is>
          <t>Email nurture sequence integrated with paid ads improved retention by 9%.</t>
        </is>
      </c>
    </row>
    <row r="65">
      <c r="A65" s="4" t="inlineStr">
        <is>
          <t>Aug</t>
        </is>
      </c>
      <c r="B65" s="4" t="inlineStr">
        <is>
          <t>Display/Retargeting</t>
        </is>
      </c>
      <c r="C65" s="5">
        <f>871.26</f>
        <v/>
      </c>
      <c r="D65" s="5" t="n">
        <v>17383</v>
      </c>
      <c r="E65" s="5" t="n">
        <v>1055</v>
      </c>
      <c r="F65" s="5">
        <f>ROUND(E65/D65*100,2)</f>
        <v/>
      </c>
      <c r="G65" s="5" t="n">
        <v>81</v>
      </c>
      <c r="H65" s="5">
        <f>ROUND(G65/E65*100,2)</f>
        <v/>
      </c>
      <c r="I65" s="5">
        <f>2604.55</f>
        <v/>
      </c>
      <c r="J65" s="5">
        <f>ROUND(I65/C65,2)</f>
        <v/>
      </c>
      <c r="K65" s="5">
        <f>IF(G65&gt;0,ROUND(C65/G65,2),999)</f>
        <v/>
      </c>
      <c r="L65" s="5">
        <f>ROUND(C65/45000*100,2)</f>
        <v/>
      </c>
      <c r="M65" s="5">
        <f>ROUND(-2.620888920082287,1)</f>
        <v/>
      </c>
      <c r="N65" s="4" t="inlineStr">
        <is>
          <t>N</t>
        </is>
      </c>
      <c r="O65" s="5" t="n">
        <v>8683</v>
      </c>
      <c r="P65" s="5">
        <f>ROUND(D65/O65,2)</f>
        <v/>
      </c>
      <c r="Q65" s="5" t="n">
        <v>1</v>
      </c>
      <c r="R65" s="4" t="inlineStr">
        <is>
          <t>Promotional</t>
        </is>
      </c>
      <c r="S65" s="4" t="inlineStr">
        <is>
          <t>Seasonal messaging resonated with Health-Conscious Professionals segment.</t>
        </is>
      </c>
    </row>
    <row r="66">
      <c r="A66" s="2" t="inlineStr">
        <is>
          <t>Sep</t>
        </is>
      </c>
      <c r="B66" s="2" t="inlineStr">
        <is>
          <t>Google Brand Search</t>
        </is>
      </c>
      <c r="C66" s="3">
        <f>12435.40</f>
        <v/>
      </c>
      <c r="D66" s="3" t="n">
        <v>237917</v>
      </c>
      <c r="E66" s="3" t="n">
        <v>11850</v>
      </c>
      <c r="F66" s="3">
        <f>ROUND(E66/D66*100,2)</f>
        <v/>
      </c>
      <c r="G66" s="3" t="n">
        <v>1050</v>
      </c>
      <c r="H66" s="3">
        <f>ROUND(G66/E66*100,2)</f>
        <v/>
      </c>
      <c r="I66" s="3">
        <f>56312.10</f>
        <v/>
      </c>
      <c r="J66" s="3">
        <f>ROUND(I66/C66,2)</f>
        <v/>
      </c>
      <c r="K66" s="3">
        <f>IF(G66&gt;0,ROUND(C66/G66,2),999)</f>
        <v/>
      </c>
      <c r="L66" s="3">
        <f>ROUND(C66/45000*100,2)</f>
        <v/>
      </c>
      <c r="M66" s="3">
        <f>ROUND(-1.1868283100178119,1)</f>
        <v/>
      </c>
      <c r="N66" s="2" t="inlineStr">
        <is>
          <t>Y</t>
        </is>
      </c>
      <c r="O66" s="3" t="n">
        <v>100729</v>
      </c>
      <c r="P66" s="3">
        <f>ROUND(D66/O66,2)</f>
        <v/>
      </c>
      <c r="Q66" s="3" t="n">
        <v>2</v>
      </c>
      <c r="R66" s="2" t="inlineStr">
        <is>
          <t>Lifestyle</t>
        </is>
      </c>
      <c r="S66" s="2" t="inlineStr">
        <is>
          <t>Strong CTR from geo-targeted campaigns. ROAS within target. Consider expanding budget.</t>
        </is>
      </c>
    </row>
    <row r="67">
      <c r="A67" s="4" t="inlineStr">
        <is>
          <t>Sep</t>
        </is>
      </c>
      <c r="B67" s="4" t="inlineStr">
        <is>
          <t>Google Generic Search</t>
        </is>
      </c>
      <c r="C67" s="5">
        <f>12228.77</f>
        <v/>
      </c>
      <c r="D67" s="5" t="n">
        <v>127238</v>
      </c>
      <c r="E67" s="5" t="n">
        <v>9229</v>
      </c>
      <c r="F67" s="5">
        <f>ROUND(E67/D67*100,2)</f>
        <v/>
      </c>
      <c r="G67" s="5" t="n">
        <v>467</v>
      </c>
      <c r="H67" s="5">
        <f>ROUND(G67/E67*100,2)</f>
        <v/>
      </c>
      <c r="I67" s="5">
        <f>39401.99</f>
        <v/>
      </c>
      <c r="J67" s="5">
        <f>ROUND(I67/C67,2)</f>
        <v/>
      </c>
      <c r="K67" s="5">
        <f>IF(G67&gt;0,ROUND(C67/G67,2),999)</f>
        <v/>
      </c>
      <c r="L67" s="5">
        <f>ROUND(C67/45000*100,2)</f>
        <v/>
      </c>
      <c r="M67" s="5">
        <f>ROUND(-1.5838964764723986,1)</f>
        <v/>
      </c>
      <c r="N67" s="4" t="inlineStr">
        <is>
          <t>N</t>
        </is>
      </c>
      <c r="O67" s="5" t="n">
        <v>44535</v>
      </c>
      <c r="P67" s="5">
        <f>ROUND(D67/O67,2)</f>
        <v/>
      </c>
      <c r="Q67" s="5" t="n">
        <v>1</v>
      </c>
      <c r="R67" s="4" t="inlineStr">
        <is>
          <t>Lifestyle</t>
        </is>
      </c>
      <c r="S67" s="4" t="inlineStr">
        <is>
          <t>New audience segment (Gift Purchasers) outperforming expectations at 5.2x ROAS.</t>
        </is>
      </c>
    </row>
    <row r="68">
      <c r="A68" s="2" t="inlineStr">
        <is>
          <t>Sep</t>
        </is>
      </c>
      <c r="B68" s="2" t="inlineStr">
        <is>
          <t>Google Shopping</t>
        </is>
      </c>
      <c r="C68" s="3">
        <f>9084.65</f>
        <v/>
      </c>
      <c r="D68" s="3" t="n">
        <v>80321</v>
      </c>
      <c r="E68" s="3" t="n">
        <v>4777</v>
      </c>
      <c r="F68" s="3">
        <f>ROUND(E68/D68*100,2)</f>
        <v/>
      </c>
      <c r="G68" s="3" t="n">
        <v>217</v>
      </c>
      <c r="H68" s="3">
        <f>ROUND(G68/E68*100,2)</f>
        <v/>
      </c>
      <c r="I68" s="3">
        <f>34811.58</f>
        <v/>
      </c>
      <c r="J68" s="3">
        <f>ROUND(I68/C68,2)</f>
        <v/>
      </c>
      <c r="K68" s="3">
        <f>IF(G68&gt;0,ROUND(C68/G68,2),999)</f>
        <v/>
      </c>
      <c r="L68" s="3">
        <f>ROUND(C68/45000*100,2)</f>
        <v/>
      </c>
      <c r="M68" s="3">
        <f>ROUND(1.2777682054323634,1)</f>
        <v/>
      </c>
      <c r="N68" s="2" t="inlineStr">
        <is>
          <t>N</t>
        </is>
      </c>
      <c r="O68" s="3" t="n">
        <v>38877</v>
      </c>
      <c r="P68" s="3">
        <f>ROUND(D68/O68,2)</f>
        <v/>
      </c>
      <c r="Q68" s="3" t="n">
        <v>3</v>
      </c>
      <c r="R68" s="2" t="inlineStr">
        <is>
          <t>UGC</t>
        </is>
      </c>
      <c r="S68" s="2" t="inlineStr">
        <is>
          <t>Inventory constraints forced pause of top-performing creative for 5 days.</t>
        </is>
      </c>
    </row>
    <row r="69">
      <c r="A69" s="4" t="inlineStr">
        <is>
          <t>Sep</t>
        </is>
      </c>
      <c r="B69" s="4" t="inlineStr">
        <is>
          <t>Meta Prospecting</t>
        </is>
      </c>
      <c r="C69" s="5">
        <f>3953.17</f>
        <v/>
      </c>
      <c r="D69" s="5" t="n">
        <v>43284</v>
      </c>
      <c r="E69" s="5" t="n">
        <v>1718</v>
      </c>
      <c r="F69" s="5">
        <f>ROUND(E69/D69*100,2)</f>
        <v/>
      </c>
      <c r="G69" s="5" t="n">
        <v>84</v>
      </c>
      <c r="H69" s="5">
        <f>ROUND(G69/E69*100,2)</f>
        <v/>
      </c>
      <c r="I69" s="5">
        <f>9185.56</f>
        <v/>
      </c>
      <c r="J69" s="5">
        <f>ROUND(I69/C69,2)</f>
        <v/>
      </c>
      <c r="K69" s="5">
        <f>IF(G69&gt;0,ROUND(C69/G69,2),999)</f>
        <v/>
      </c>
      <c r="L69" s="5">
        <f>ROUND(C69/45000*100,2)</f>
        <v/>
      </c>
      <c r="M69" s="5">
        <f>ROUND(2.7502861958636973,1)</f>
        <v/>
      </c>
      <c r="N69" s="4" t="inlineStr">
        <is>
          <t>N</t>
        </is>
      </c>
      <c r="O69" s="5" t="n">
        <v>29008</v>
      </c>
      <c r="P69" s="5">
        <f>ROUND(D69/O69,2)</f>
        <v/>
      </c>
      <c r="Q69" s="5" t="n">
        <v>0</v>
      </c>
      <c r="R69" s="4" t="inlineStr">
        <is>
          <t>Promotional</t>
        </is>
      </c>
      <c r="S69" s="4" t="inlineStr">
        <is>
          <t>Mobile optimization work resulted in CVR improvement of 12%.</t>
        </is>
      </c>
    </row>
    <row r="70">
      <c r="A70" s="2" t="inlineStr">
        <is>
          <t>Sep</t>
        </is>
      </c>
      <c r="B70" s="2" t="inlineStr">
        <is>
          <t>Meta Retargeting</t>
        </is>
      </c>
      <c r="C70" s="3">
        <f>3198.67</f>
        <v/>
      </c>
      <c r="D70" s="3" t="n">
        <v>44415</v>
      </c>
      <c r="E70" s="3" t="n">
        <v>2025</v>
      </c>
      <c r="F70" s="3">
        <f>ROUND(E70/D70*100,2)</f>
        <v/>
      </c>
      <c r="G70" s="3" t="n">
        <v>94</v>
      </c>
      <c r="H70" s="3">
        <f>ROUND(G70/E70*100,2)</f>
        <v/>
      </c>
      <c r="I70" s="3">
        <f>9372.27</f>
        <v/>
      </c>
      <c r="J70" s="3">
        <f>ROUND(I70/C70,2)</f>
        <v/>
      </c>
      <c r="K70" s="3">
        <f>IF(G70&gt;0,ROUND(C70/G70,2),999)</f>
        <v/>
      </c>
      <c r="L70" s="3">
        <f>ROUND(C70/45000*100,2)</f>
        <v/>
      </c>
      <c r="M70" s="3">
        <f>ROUND(3.296730439839203,1)</f>
        <v/>
      </c>
      <c r="N70" s="2" t="inlineStr">
        <is>
          <t>N</t>
        </is>
      </c>
      <c r="O70" s="3" t="n">
        <v>22875</v>
      </c>
      <c r="P70" s="3">
        <f>ROUND(D70/O70,2)</f>
        <v/>
      </c>
      <c r="Q70" s="3" t="n">
        <v>1</v>
      </c>
      <c r="R70" s="2" t="inlineStr">
        <is>
          <t>Educational</t>
        </is>
      </c>
      <c r="S70" s="2" t="inlineStr">
        <is>
          <t>Audience lookalike expansion successful; CAC at 18-month low.</t>
        </is>
      </c>
    </row>
    <row r="71">
      <c r="A71" s="4" t="inlineStr">
        <is>
          <t>Sep</t>
        </is>
      </c>
      <c r="B71" s="4" t="inlineStr">
        <is>
          <t>TikTok</t>
        </is>
      </c>
      <c r="C71" s="5">
        <f>2321.83</f>
        <v/>
      </c>
      <c r="D71" s="5" t="n">
        <v>23644</v>
      </c>
      <c r="E71" s="5" t="n">
        <v>1024</v>
      </c>
      <c r="F71" s="5">
        <f>ROUND(E71/D71*100,2)</f>
        <v/>
      </c>
      <c r="G71" s="5" t="n">
        <v>101</v>
      </c>
      <c r="H71" s="5">
        <f>ROUND(G71/E71*100,2)</f>
        <v/>
      </c>
      <c r="I71" s="5">
        <f>7252.38</f>
        <v/>
      </c>
      <c r="J71" s="5">
        <f>ROUND(I71/C71,2)</f>
        <v/>
      </c>
      <c r="K71" s="5">
        <f>IF(G71&gt;0,ROUND(C71/G71,2),999)</f>
        <v/>
      </c>
      <c r="L71" s="5">
        <f>ROUND(C71/45000*100,2)</f>
        <v/>
      </c>
      <c r="M71" s="5">
        <f>ROUND(5.244104765135738,1)</f>
        <v/>
      </c>
      <c r="N71" s="4" t="inlineStr">
        <is>
          <t>N</t>
        </is>
      </c>
      <c r="O71" s="5" t="n">
        <v>16082</v>
      </c>
      <c r="P71" s="5">
        <f>ROUND(D71/O71,2)</f>
        <v/>
      </c>
      <c r="Q71" s="5" t="n">
        <v>1</v>
      </c>
      <c r="R71" s="4" t="inlineStr">
        <is>
          <t>UGC</t>
        </is>
      </c>
      <c r="S71" s="4" t="inlineStr">
        <is>
          <t>Bundle promotion drove 23% lift in AOV vs non-promo period.</t>
        </is>
      </c>
    </row>
    <row r="72">
      <c r="A72" s="2" t="inlineStr">
        <is>
          <t>Sep</t>
        </is>
      </c>
      <c r="B72" s="2" t="inlineStr">
        <is>
          <t>YouTube</t>
        </is>
      </c>
      <c r="C72" s="3">
        <f>1379.64</f>
        <v/>
      </c>
      <c r="D72" s="3" t="n">
        <v>21100</v>
      </c>
      <c r="E72" s="3" t="n">
        <v>1399</v>
      </c>
      <c r="F72" s="3">
        <f>ROUND(E72/D72*100,2)</f>
        <v/>
      </c>
      <c r="G72" s="3" t="n">
        <v>90</v>
      </c>
      <c r="H72" s="3">
        <f>ROUND(G72/E72*100,2)</f>
        <v/>
      </c>
      <c r="I72" s="3">
        <f>5074.99</f>
        <v/>
      </c>
      <c r="J72" s="3">
        <f>ROUND(I72/C72,2)</f>
        <v/>
      </c>
      <c r="K72" s="3">
        <f>IF(G72&gt;0,ROUND(C72/G72,2),999)</f>
        <v/>
      </c>
      <c r="L72" s="3">
        <f>ROUND(C72/45000*100,2)</f>
        <v/>
      </c>
      <c r="M72" s="3">
        <f>ROUND(-3.6983782953800732,1)</f>
        <v/>
      </c>
      <c r="N72" s="2" t="inlineStr">
        <is>
          <t>N</t>
        </is>
      </c>
      <c r="O72" s="3" t="n">
        <v>12202</v>
      </c>
      <c r="P72" s="3">
        <f>ROUND(D72/O72,2)</f>
        <v/>
      </c>
      <c r="Q72" s="3" t="n">
        <v>1</v>
      </c>
      <c r="R72" s="2" t="inlineStr">
        <is>
          <t>Lifestyle</t>
        </is>
      </c>
      <c r="S72" s="2" t="inlineStr">
        <is>
          <t>Video content format tested; CPV 18% below benchmark average.</t>
        </is>
      </c>
    </row>
    <row r="73">
      <c r="A73" s="4" t="inlineStr">
        <is>
          <t>Sep</t>
        </is>
      </c>
      <c r="B73" s="4" t="inlineStr">
        <is>
          <t>Display/Retargeting</t>
        </is>
      </c>
      <c r="C73" s="5">
        <f>893.20</f>
        <v/>
      </c>
      <c r="D73" s="5" t="n">
        <v>13168</v>
      </c>
      <c r="E73" s="5" t="n">
        <v>429</v>
      </c>
      <c r="F73" s="5">
        <f>ROUND(E73/D73*100,2)</f>
        <v/>
      </c>
      <c r="G73" s="5" t="n">
        <v>27</v>
      </c>
      <c r="H73" s="5">
        <f>ROUND(G73/E73*100,2)</f>
        <v/>
      </c>
      <c r="I73" s="5">
        <f>3122.33</f>
        <v/>
      </c>
      <c r="J73" s="5">
        <f>ROUND(I73/C73,2)</f>
        <v/>
      </c>
      <c r="K73" s="5">
        <f>IF(G73&gt;0,ROUND(C73/G73,2),999)</f>
        <v/>
      </c>
      <c r="L73" s="5">
        <f>ROUND(C73/45000*100,2)</f>
        <v/>
      </c>
      <c r="M73" s="5">
        <f>ROUND(0.886742076905896,1)</f>
        <v/>
      </c>
      <c r="N73" s="4" t="inlineStr">
        <is>
          <t>N</t>
        </is>
      </c>
      <c r="O73" s="5" t="n">
        <v>7395</v>
      </c>
      <c r="P73" s="5">
        <f>ROUND(D73/O73,2)</f>
        <v/>
      </c>
      <c r="Q73" s="5" t="n">
        <v>1</v>
      </c>
      <c r="R73" s="4" t="inlineStr">
        <is>
          <t>Lifestyle</t>
        </is>
      </c>
      <c r="S73" s="4" t="inlineStr">
        <is>
          <t>Mobile optimization work resulted in CVR improvement of 12%.</t>
        </is>
      </c>
    </row>
    <row r="74">
      <c r="A74" s="2" t="inlineStr">
        <is>
          <t>Oct</t>
        </is>
      </c>
      <c r="B74" s="2" t="inlineStr">
        <is>
          <t>Google Brand Search</t>
        </is>
      </c>
      <c r="C74" s="3">
        <f>12203.68</f>
        <v/>
      </c>
      <c r="D74" s="3" t="n">
        <v>202869</v>
      </c>
      <c r="E74" s="3" t="n">
        <v>14781</v>
      </c>
      <c r="F74" s="3">
        <f>ROUND(E74/D74*100,2)</f>
        <v/>
      </c>
      <c r="G74" s="3" t="n">
        <v>725</v>
      </c>
      <c r="H74" s="3">
        <f>ROUND(G74/E74*100,2)</f>
        <v/>
      </c>
      <c r="I74" s="3">
        <f>57434.75</f>
        <v/>
      </c>
      <c r="J74" s="3">
        <f>ROUND(I74/C74,2)</f>
        <v/>
      </c>
      <c r="K74" s="3">
        <f>IF(G74&gt;0,ROUND(C74/G74,2),999)</f>
        <v/>
      </c>
      <c r="L74" s="3">
        <f>ROUND(C74/45000*100,2)</f>
        <v/>
      </c>
      <c r="M74" s="3">
        <f>ROUND(5.183147767768652,1)</f>
        <v/>
      </c>
      <c r="N74" s="2" t="inlineStr">
        <is>
          <t>Y</t>
        </is>
      </c>
      <c r="O74" s="3" t="n">
        <v>119517</v>
      </c>
      <c r="P74" s="3">
        <f>ROUND(D74/O74,2)</f>
        <v/>
      </c>
      <c r="Q74" s="3" t="n">
        <v>0</v>
      </c>
      <c r="R74" s="2" t="inlineStr">
        <is>
          <t>Educational</t>
        </is>
      </c>
      <c r="S74" s="2" t="inlineStr">
        <is>
          <t>Dayparting analysis showed peak performance 7-9 PM weekdays.</t>
        </is>
      </c>
    </row>
    <row r="75">
      <c r="A75" s="4" t="inlineStr">
        <is>
          <t>Oct</t>
        </is>
      </c>
      <c r="B75" s="4" t="inlineStr">
        <is>
          <t>Google Generic Search</t>
        </is>
      </c>
      <c r="C75" s="5">
        <f>11642.83</f>
        <v/>
      </c>
      <c r="D75" s="5" t="n">
        <v>104518</v>
      </c>
      <c r="E75" s="5" t="n">
        <v>6789</v>
      </c>
      <c r="F75" s="5">
        <f>ROUND(E75/D75*100,2)</f>
        <v/>
      </c>
      <c r="G75" s="5" t="n">
        <v>292</v>
      </c>
      <c r="H75" s="5">
        <f>ROUND(G75/E75*100,2)</f>
        <v/>
      </c>
      <c r="I75" s="5">
        <f>41476.53</f>
        <v/>
      </c>
      <c r="J75" s="5">
        <f>ROUND(I75/C75,2)</f>
        <v/>
      </c>
      <c r="K75" s="5">
        <f>IF(G75&gt;0,ROUND(C75/G75,2),999)</f>
        <v/>
      </c>
      <c r="L75" s="5">
        <f>ROUND(C75/45000*100,2)</f>
        <v/>
      </c>
      <c r="M75" s="5">
        <f>ROUND(-0.8335451357772672,1)</f>
        <v/>
      </c>
      <c r="N75" s="4" t="inlineStr">
        <is>
          <t>N</t>
        </is>
      </c>
      <c r="O75" s="5" t="n">
        <v>58535</v>
      </c>
      <c r="P75" s="5">
        <f>ROUND(D75/O75,2)</f>
        <v/>
      </c>
      <c r="Q75" s="5" t="n">
        <v>1</v>
      </c>
      <c r="R75" s="4" t="inlineStr">
        <is>
          <t>Educational</t>
        </is>
      </c>
      <c r="S75" s="4" t="inlineStr">
        <is>
          <t>Email nurture sequence integrated with paid ads improved retention by 9%.</t>
        </is>
      </c>
    </row>
    <row r="76">
      <c r="A76" s="2" t="inlineStr">
        <is>
          <t>Oct</t>
        </is>
      </c>
      <c r="B76" s="2" t="inlineStr">
        <is>
          <t>Google Shopping</t>
        </is>
      </c>
      <c r="C76" s="3">
        <f>8153.50</f>
        <v/>
      </c>
      <c r="D76" s="3" t="n">
        <v>122080</v>
      </c>
      <c r="E76" s="3" t="n">
        <v>2196</v>
      </c>
      <c r="F76" s="3">
        <f>ROUND(E76/D76*100,2)</f>
        <v/>
      </c>
      <c r="G76" s="3" t="n">
        <v>106</v>
      </c>
      <c r="H76" s="3">
        <f>ROUND(G76/E76*100,2)</f>
        <v/>
      </c>
      <c r="I76" s="3">
        <f>31574.34</f>
        <v/>
      </c>
      <c r="J76" s="3">
        <f>ROUND(I76/C76,2)</f>
        <v/>
      </c>
      <c r="K76" s="3">
        <f>IF(G76&gt;0,ROUND(C76/G76,2),999)</f>
        <v/>
      </c>
      <c r="L76" s="3">
        <f>ROUND(C76/45000*100,2)</f>
        <v/>
      </c>
      <c r="M76" s="3">
        <f>ROUND(4.174733515917907,1)</f>
        <v/>
      </c>
      <c r="N76" s="2" t="inlineStr">
        <is>
          <t>N</t>
        </is>
      </c>
      <c r="O76" s="3" t="n">
        <v>41530</v>
      </c>
      <c r="P76" s="3">
        <f>ROUND(D76/O76,2)</f>
        <v/>
      </c>
      <c r="Q76" s="3" t="n">
        <v>3</v>
      </c>
      <c r="R76" s="2" t="inlineStr">
        <is>
          <t>Seasonal</t>
        </is>
      </c>
      <c r="S76" s="2" t="inlineStr">
        <is>
          <t>Strong CTR from geo-targeted campaigns. ROAS within target. Consider expanding budget.</t>
        </is>
      </c>
    </row>
    <row r="77">
      <c r="A77" s="4" t="inlineStr">
        <is>
          <t>Oct</t>
        </is>
      </c>
      <c r="B77" s="4" t="inlineStr">
        <is>
          <t>Meta Prospecting</t>
        </is>
      </c>
      <c r="C77" s="5">
        <f>3532.05</f>
        <v/>
      </c>
      <c r="D77" s="5" t="n">
        <v>59889</v>
      </c>
      <c r="E77" s="5" t="n">
        <v>1012</v>
      </c>
      <c r="F77" s="5">
        <f>ROUND(E77/D77*100,2)</f>
        <v/>
      </c>
      <c r="G77" s="5" t="n">
        <v>85</v>
      </c>
      <c r="H77" s="5">
        <f>ROUND(G77/E77*100,2)</f>
        <v/>
      </c>
      <c r="I77" s="5">
        <f>7433.86</f>
        <v/>
      </c>
      <c r="J77" s="5">
        <f>ROUND(I77/C77,2)</f>
        <v/>
      </c>
      <c r="K77" s="5">
        <f>IF(G77&gt;0,ROUND(C77/G77,2),999)</f>
        <v/>
      </c>
      <c r="L77" s="5">
        <f>ROUND(C77/45000*100,2)</f>
        <v/>
      </c>
      <c r="M77" s="5">
        <f>ROUND(2.755469284928253,1)</f>
        <v/>
      </c>
      <c r="N77" s="4" t="inlineStr">
        <is>
          <t>N</t>
        </is>
      </c>
      <c r="O77" s="5" t="n">
        <v>31724</v>
      </c>
      <c r="P77" s="5">
        <f>ROUND(D77/O77,2)</f>
        <v/>
      </c>
      <c r="Q77" s="5" t="n">
        <v>0</v>
      </c>
      <c r="R77" s="4" t="inlineStr">
        <is>
          <t>Lifestyle</t>
        </is>
      </c>
      <c r="S77" s="4" t="inlineStr">
        <is>
          <t>Competitor bidding increased CPC by 15%. Optimized ad copy reduced CAC.</t>
        </is>
      </c>
    </row>
    <row r="78">
      <c r="A78" s="2" t="inlineStr">
        <is>
          <t>Oct</t>
        </is>
      </c>
      <c r="B78" s="2" t="inlineStr">
        <is>
          <t>Meta Retargeting</t>
        </is>
      </c>
      <c r="C78" s="3">
        <f>3079.55</f>
        <v/>
      </c>
      <c r="D78" s="3" t="n">
        <v>60540</v>
      </c>
      <c r="E78" s="3" t="n">
        <v>3924</v>
      </c>
      <c r="F78" s="3">
        <f>ROUND(E78/D78*100,2)</f>
        <v/>
      </c>
      <c r="G78" s="3" t="n">
        <v>178</v>
      </c>
      <c r="H78" s="3">
        <f>ROUND(G78/E78*100,2)</f>
        <v/>
      </c>
      <c r="I78" s="3">
        <f>8608.44</f>
        <v/>
      </c>
      <c r="J78" s="3">
        <f>ROUND(I78/C78,2)</f>
        <v/>
      </c>
      <c r="K78" s="3">
        <f>IF(G78&gt;0,ROUND(C78/G78,2),999)</f>
        <v/>
      </c>
      <c r="L78" s="3">
        <f>ROUND(C78/45000*100,2)</f>
        <v/>
      </c>
      <c r="M78" s="3">
        <f>ROUND(-2.193673652166913,1)</f>
        <v/>
      </c>
      <c r="N78" s="2" t="inlineStr">
        <is>
          <t>N</t>
        </is>
      </c>
      <c r="O78" s="3" t="n">
        <v>29784</v>
      </c>
      <c r="P78" s="3">
        <f>ROUND(D78/O78,2)</f>
        <v/>
      </c>
      <c r="Q78" s="3" t="n">
        <v>1</v>
      </c>
      <c r="R78" s="2" t="inlineStr">
        <is>
          <t>Lifestyle</t>
        </is>
      </c>
      <c r="S78" s="2" t="inlineStr">
        <is>
          <t>Inventory constraints forced pause of top-performing creative for 5 days.</t>
        </is>
      </c>
    </row>
    <row r="79">
      <c r="A79" s="4" t="inlineStr">
        <is>
          <t>Oct</t>
        </is>
      </c>
      <c r="B79" s="4" t="inlineStr">
        <is>
          <t>TikTok</t>
        </is>
      </c>
      <c r="C79" s="5">
        <f>2115.96</f>
        <v/>
      </c>
      <c r="D79" s="5" t="n">
        <v>37011</v>
      </c>
      <c r="E79" s="5" t="n">
        <v>587</v>
      </c>
      <c r="F79" s="5">
        <f>ROUND(E79/D79*100,2)</f>
        <v/>
      </c>
      <c r="G79" s="5" t="n">
        <v>31</v>
      </c>
      <c r="H79" s="5">
        <f>ROUND(G79/E79*100,2)</f>
        <v/>
      </c>
      <c r="I79" s="5">
        <f>6002.39</f>
        <v/>
      </c>
      <c r="J79" s="5">
        <f>ROUND(I79/C79,2)</f>
        <v/>
      </c>
      <c r="K79" s="5">
        <f>IF(G79&gt;0,ROUND(C79/G79,2),999)</f>
        <v/>
      </c>
      <c r="L79" s="5">
        <f>ROUND(C79/45000*100,2)</f>
        <v/>
      </c>
      <c r="M79" s="5">
        <f>ROUND(-3.034013792667232,1)</f>
        <v/>
      </c>
      <c r="N79" s="4" t="inlineStr">
        <is>
          <t>N</t>
        </is>
      </c>
      <c r="O79" s="5" t="n">
        <v>18281</v>
      </c>
      <c r="P79" s="5">
        <f>ROUND(D79/O79,2)</f>
        <v/>
      </c>
      <c r="Q79" s="5" t="n">
        <v>2</v>
      </c>
      <c r="R79" s="4" t="inlineStr">
        <is>
          <t>UGC</t>
        </is>
      </c>
      <c r="S79" s="4" t="inlineStr">
        <is>
          <t>Seasonal messaging resonated with Health-Conscious Professionals segment.</t>
        </is>
      </c>
    </row>
    <row r="80">
      <c r="A80" s="2" t="inlineStr">
        <is>
          <t>Oct</t>
        </is>
      </c>
      <c r="B80" s="2" t="inlineStr">
        <is>
          <t>YouTube</t>
        </is>
      </c>
      <c r="C80" s="3">
        <f>1439.32</f>
        <v/>
      </c>
      <c r="D80" s="3" t="n">
        <v>27643</v>
      </c>
      <c r="E80" s="3" t="n">
        <v>827</v>
      </c>
      <c r="F80" s="3">
        <f>ROUND(E80/D80*100,2)</f>
        <v/>
      </c>
      <c r="G80" s="3" t="n">
        <v>39</v>
      </c>
      <c r="H80" s="3">
        <f>ROUND(G80/E80*100,2)</f>
        <v/>
      </c>
      <c r="I80" s="3">
        <f>5137.89</f>
        <v/>
      </c>
      <c r="J80" s="3">
        <f>ROUND(I80/C80,2)</f>
        <v/>
      </c>
      <c r="K80" s="3">
        <f>IF(G80&gt;0,ROUND(C80/G80,2),999)</f>
        <v/>
      </c>
      <c r="L80" s="3">
        <f>ROUND(C80/45000*100,2)</f>
        <v/>
      </c>
      <c r="M80" s="3">
        <f>ROUND(-0.22836320943695468,1)</f>
        <v/>
      </c>
      <c r="N80" s="2" t="inlineStr">
        <is>
          <t>N</t>
        </is>
      </c>
      <c r="O80" s="3" t="n">
        <v>15978</v>
      </c>
      <c r="P80" s="3">
        <f>ROUND(D80/O80,2)</f>
        <v/>
      </c>
      <c r="Q80" s="3" t="n">
        <v>0</v>
      </c>
      <c r="R80" s="2" t="inlineStr">
        <is>
          <t>Seasonal</t>
        </is>
      </c>
      <c r="S80" s="2" t="inlineStr">
        <is>
          <t>Test of carousel ads showed 31% higher engagement than static images.</t>
        </is>
      </c>
    </row>
    <row r="81">
      <c r="A81" s="4" t="inlineStr">
        <is>
          <t>Oct</t>
        </is>
      </c>
      <c r="B81" s="4" t="inlineStr">
        <is>
          <t>Display/Retargeting</t>
        </is>
      </c>
      <c r="C81" s="5">
        <f>830.80</f>
        <v/>
      </c>
      <c r="D81" s="5" t="n">
        <v>12663</v>
      </c>
      <c r="E81" s="5" t="n">
        <v>272</v>
      </c>
      <c r="F81" s="5">
        <f>ROUND(E81/D81*100,2)</f>
        <v/>
      </c>
      <c r="G81" s="5" t="n">
        <v>15</v>
      </c>
      <c r="H81" s="5">
        <f>ROUND(G81/E81*100,2)</f>
        <v/>
      </c>
      <c r="I81" s="5">
        <f>2330.78</f>
        <v/>
      </c>
      <c r="J81" s="5">
        <f>ROUND(I81/C81,2)</f>
        <v/>
      </c>
      <c r="K81" s="5">
        <f>IF(G81&gt;0,ROUND(C81/G81,2),999)</f>
        <v/>
      </c>
      <c r="L81" s="5">
        <f>ROUND(C81/45000*100,2)</f>
        <v/>
      </c>
      <c r="M81" s="5">
        <f>ROUND(-1.2846207543229453,1)</f>
        <v/>
      </c>
      <c r="N81" s="4" t="inlineStr">
        <is>
          <t>N</t>
        </is>
      </c>
      <c r="O81" s="5" t="n">
        <v>6202</v>
      </c>
      <c r="P81" s="5">
        <f>ROUND(D81/O81,2)</f>
        <v/>
      </c>
      <c r="Q81" s="5" t="n">
        <v>2</v>
      </c>
      <c r="R81" s="4" t="inlineStr">
        <is>
          <t>Educational</t>
        </is>
      </c>
      <c r="S81" s="4" t="inlineStr">
        <is>
          <t>Competitor price drop required messaging adjustment; maintained margin.</t>
        </is>
      </c>
    </row>
    <row r="82">
      <c r="A82" s="2" t="inlineStr">
        <is>
          <t>Nov</t>
        </is>
      </c>
      <c r="B82" s="2" t="inlineStr">
        <is>
          <t>Google Brand Search</t>
        </is>
      </c>
      <c r="C82" s="3">
        <f>12348.17</f>
        <v/>
      </c>
      <c r="D82" s="3" t="n">
        <v>124812</v>
      </c>
      <c r="E82" s="3" t="n">
        <v>5988</v>
      </c>
      <c r="F82" s="3">
        <f>ROUND(E82/D82*100,2)</f>
        <v/>
      </c>
      <c r="G82" s="3" t="n">
        <v>407</v>
      </c>
      <c r="H82" s="3">
        <f>ROUND(G82/E82*100,2)</f>
        <v/>
      </c>
      <c r="I82" s="3">
        <f>53479.35</f>
        <v/>
      </c>
      <c r="J82" s="3">
        <f>ROUND(I82/C82,2)</f>
        <v/>
      </c>
      <c r="K82" s="3">
        <f>IF(G82&gt;0,ROUND(C82/G82,2),999)</f>
        <v/>
      </c>
      <c r="L82" s="3">
        <f>ROUND(C82/45000*100,2)</f>
        <v/>
      </c>
      <c r="M82" s="3">
        <f>ROUND(-3.5450784917815206,1)</f>
        <v/>
      </c>
      <c r="N82" s="2" t="inlineStr">
        <is>
          <t>Y</t>
        </is>
      </c>
      <c r="O82" s="3" t="n">
        <v>41618</v>
      </c>
      <c r="P82" s="3">
        <f>ROUND(D82/O82,2)</f>
        <v/>
      </c>
      <c r="Q82" s="3" t="n">
        <v>2</v>
      </c>
      <c r="R82" s="2" t="inlineStr">
        <is>
          <t>Lifestyle</t>
        </is>
      </c>
      <c r="S82" s="2" t="inlineStr">
        <is>
          <t>Post-purchase follow-up ads reduced first-month churn by 7%.</t>
        </is>
      </c>
    </row>
    <row r="83">
      <c r="A83" s="4" t="inlineStr">
        <is>
          <t>Nov</t>
        </is>
      </c>
      <c r="B83" s="4" t="inlineStr">
        <is>
          <t>Google Generic Search</t>
        </is>
      </c>
      <c r="C83" s="5">
        <f>10484.18</f>
        <v/>
      </c>
      <c r="D83" s="5" t="n">
        <v>98845</v>
      </c>
      <c r="E83" s="5" t="n">
        <v>1576</v>
      </c>
      <c r="F83" s="5">
        <f>ROUND(E83/D83*100,2)</f>
        <v/>
      </c>
      <c r="G83" s="5" t="n">
        <v>108</v>
      </c>
      <c r="H83" s="5">
        <f>ROUND(G83/E83*100,2)</f>
        <v/>
      </c>
      <c r="I83" s="5">
        <f>35729.36</f>
        <v/>
      </c>
      <c r="J83" s="5">
        <f>ROUND(I83/C83,2)</f>
        <v/>
      </c>
      <c r="K83" s="5">
        <f>IF(G83&gt;0,ROUND(C83/G83,2),999)</f>
        <v/>
      </c>
      <c r="L83" s="5">
        <f>ROUND(C83/45000*100,2)</f>
        <v/>
      </c>
      <c r="M83" s="5">
        <f>ROUND(-2.111109215445497,1)</f>
        <v/>
      </c>
      <c r="N83" s="4" t="inlineStr">
        <is>
          <t>N</t>
        </is>
      </c>
      <c r="O83" s="5" t="n">
        <v>64431</v>
      </c>
      <c r="P83" s="5">
        <f>ROUND(D83/O83,2)</f>
        <v/>
      </c>
      <c r="Q83" s="5" t="n">
        <v>1</v>
      </c>
      <c r="R83" s="4" t="inlineStr">
        <is>
          <t>Seasonal</t>
        </is>
      </c>
      <c r="S83" s="4" t="inlineStr">
        <is>
          <t>New influencer partnership drove 2,400 impressions in organic reach.</t>
        </is>
      </c>
    </row>
    <row r="84">
      <c r="A84" s="2" t="inlineStr">
        <is>
          <t>Nov</t>
        </is>
      </c>
      <c r="B84" s="2" t="inlineStr">
        <is>
          <t>Google Shopping</t>
        </is>
      </c>
      <c r="C84" s="3">
        <f>9373.34</f>
        <v/>
      </c>
      <c r="D84" s="3" t="n">
        <v>87132</v>
      </c>
      <c r="E84" s="3" t="n">
        <v>2178</v>
      </c>
      <c r="F84" s="3">
        <f>ROUND(E84/D84*100,2)</f>
        <v/>
      </c>
      <c r="G84" s="3" t="n">
        <v>190</v>
      </c>
      <c r="H84" s="3">
        <f>ROUND(G84/E84*100,2)</f>
        <v/>
      </c>
      <c r="I84" s="3">
        <f>35029.12</f>
        <v/>
      </c>
      <c r="J84" s="3">
        <f>ROUND(I84/C84,2)</f>
        <v/>
      </c>
      <c r="K84" s="3">
        <f>IF(G84&gt;0,ROUND(C84/G84,2),999)</f>
        <v/>
      </c>
      <c r="L84" s="3">
        <f>ROUND(C84/45000*100,2)</f>
        <v/>
      </c>
      <c r="M84" s="3">
        <f>ROUND(-0.3692920734687361,1)</f>
        <v/>
      </c>
      <c r="N84" s="2" t="inlineStr">
        <is>
          <t>N</t>
        </is>
      </c>
      <c r="O84" s="3" t="n">
        <v>30299</v>
      </c>
      <c r="P84" s="3">
        <f>ROUND(D84/O84,2)</f>
        <v/>
      </c>
      <c r="Q84" s="3" t="n">
        <v>0</v>
      </c>
      <c r="R84" s="2" t="inlineStr">
        <is>
          <t>Promotional</t>
        </is>
      </c>
      <c r="S84" s="2" t="inlineStr">
        <is>
          <t>Competitor bidding increased CPC by 15%. Optimized ad copy reduced CAC.</t>
        </is>
      </c>
    </row>
    <row r="85">
      <c r="A85" s="4" t="inlineStr">
        <is>
          <t>Nov</t>
        </is>
      </c>
      <c r="B85" s="4" t="inlineStr">
        <is>
          <t>Meta Prospecting</t>
        </is>
      </c>
      <c r="C85" s="5">
        <f>3666.22</f>
        <v/>
      </c>
      <c r="D85" s="5" t="n">
        <v>38854</v>
      </c>
      <c r="E85" s="5" t="n">
        <v>1946</v>
      </c>
      <c r="F85" s="5">
        <f>ROUND(E85/D85*100,2)</f>
        <v/>
      </c>
      <c r="G85" s="5" t="n">
        <v>87</v>
      </c>
      <c r="H85" s="5">
        <f>ROUND(G85/E85*100,2)</f>
        <v/>
      </c>
      <c r="I85" s="5">
        <f>7349.20</f>
        <v/>
      </c>
      <c r="J85" s="5">
        <f>ROUND(I85/C85,2)</f>
        <v/>
      </c>
      <c r="K85" s="5">
        <f>IF(G85&gt;0,ROUND(C85/G85,2),999)</f>
        <v/>
      </c>
      <c r="L85" s="5">
        <f>ROUND(C85/45000*100,2)</f>
        <v/>
      </c>
      <c r="M85" s="5">
        <f>ROUND(1.4802173714042928,1)</f>
        <v/>
      </c>
      <c r="N85" s="4" t="inlineStr">
        <is>
          <t>N</t>
        </is>
      </c>
      <c r="O85" s="5" t="n">
        <v>24150</v>
      </c>
      <c r="P85" s="5">
        <f>ROUND(D85/O85,2)</f>
        <v/>
      </c>
      <c r="Q85" s="5" t="n">
        <v>1</v>
      </c>
      <c r="R85" s="4" t="inlineStr">
        <is>
          <t>Educational</t>
        </is>
      </c>
      <c r="S85" s="4" t="inlineStr">
        <is>
          <t>New influencer partnership drove 2,400 impressions in organic reach.</t>
        </is>
      </c>
    </row>
    <row r="86">
      <c r="A86" s="2" t="inlineStr">
        <is>
          <t>Nov</t>
        </is>
      </c>
      <c r="B86" s="2" t="inlineStr">
        <is>
          <t>Meta Retargeting</t>
        </is>
      </c>
      <c r="C86" s="3">
        <f>3366.88</f>
        <v/>
      </c>
      <c r="D86" s="3" t="n">
        <v>50433</v>
      </c>
      <c r="E86" s="3" t="n">
        <v>1316</v>
      </c>
      <c r="F86" s="3">
        <f>ROUND(E86/D86*100,2)</f>
        <v/>
      </c>
      <c r="G86" s="3" t="n">
        <v>129</v>
      </c>
      <c r="H86" s="3">
        <f>ROUND(G86/E86*100,2)</f>
        <v/>
      </c>
      <c r="I86" s="3">
        <f>9570.53</f>
        <v/>
      </c>
      <c r="J86" s="3">
        <f>ROUND(I86/C86,2)</f>
        <v/>
      </c>
      <c r="K86" s="3">
        <f>IF(G86&gt;0,ROUND(C86/G86,2),999)</f>
        <v/>
      </c>
      <c r="L86" s="3">
        <f>ROUND(C86/45000*100,2)</f>
        <v/>
      </c>
      <c r="M86" s="3">
        <f>ROUND(2.8882167961585927,1)</f>
        <v/>
      </c>
      <c r="N86" s="2" t="inlineStr">
        <is>
          <t>N</t>
        </is>
      </c>
      <c r="O86" s="3" t="n">
        <v>16216</v>
      </c>
      <c r="P86" s="3">
        <f>ROUND(D86/O86,2)</f>
        <v/>
      </c>
      <c r="Q86" s="3" t="n">
        <v>1</v>
      </c>
      <c r="R86" s="2" t="inlineStr">
        <is>
          <t>Seasonal</t>
        </is>
      </c>
      <c r="S86" s="2" t="inlineStr">
        <is>
          <t>Post-purchase follow-up ads reduced first-month churn by 7%.</t>
        </is>
      </c>
    </row>
    <row r="87">
      <c r="A87" s="4" t="inlineStr">
        <is>
          <t>Nov</t>
        </is>
      </c>
      <c r="B87" s="4" t="inlineStr">
        <is>
          <t>TikTok</t>
        </is>
      </c>
      <c r="C87" s="5">
        <f>2238.35</f>
        <v/>
      </c>
      <c r="D87" s="5" t="n">
        <v>44151</v>
      </c>
      <c r="E87" s="5" t="n">
        <v>2440</v>
      </c>
      <c r="F87" s="5">
        <f>ROUND(E87/D87*100,2)</f>
        <v/>
      </c>
      <c r="G87" s="5" t="n">
        <v>114</v>
      </c>
      <c r="H87" s="5">
        <f>ROUND(G87/E87*100,2)</f>
        <v/>
      </c>
      <c r="I87" s="5">
        <f>6764.90</f>
        <v/>
      </c>
      <c r="J87" s="5">
        <f>ROUND(I87/C87,2)</f>
        <v/>
      </c>
      <c r="K87" s="5">
        <f>IF(G87&gt;0,ROUND(C87/G87,2),999)</f>
        <v/>
      </c>
      <c r="L87" s="5">
        <f>ROUND(C87/45000*100,2)</f>
        <v/>
      </c>
      <c r="M87" s="5">
        <f>ROUND(-2.358253022983389,1)</f>
        <v/>
      </c>
      <c r="N87" s="4" t="inlineStr">
        <is>
          <t>N</t>
        </is>
      </c>
      <c r="O87" s="5" t="n">
        <v>19883</v>
      </c>
      <c r="P87" s="5">
        <f>ROUND(D87/O87,2)</f>
        <v/>
      </c>
      <c r="Q87" s="5" t="n">
        <v>3</v>
      </c>
      <c r="R87" s="4" t="inlineStr">
        <is>
          <t>Lifestyle</t>
        </is>
      </c>
      <c r="S87" s="4" t="inlineStr">
        <is>
          <t>Brand awareness campaign (untracked conversions) estimated 8% incremental lift.</t>
        </is>
      </c>
    </row>
    <row r="88">
      <c r="A88" s="2" t="inlineStr">
        <is>
          <t>Nov</t>
        </is>
      </c>
      <c r="B88" s="2" t="inlineStr">
        <is>
          <t>YouTube</t>
        </is>
      </c>
      <c r="C88" s="3">
        <f>1470.78</f>
        <v/>
      </c>
      <c r="D88" s="3" t="n">
        <v>12731</v>
      </c>
      <c r="E88" s="3" t="n">
        <v>781</v>
      </c>
      <c r="F88" s="3">
        <f>ROUND(E88/D88*100,2)</f>
        <v/>
      </c>
      <c r="G88" s="3" t="n">
        <v>65</v>
      </c>
      <c r="H88" s="3">
        <f>ROUND(G88/E88*100,2)</f>
        <v/>
      </c>
      <c r="I88" s="3">
        <f>5826.64</f>
        <v/>
      </c>
      <c r="J88" s="3">
        <f>ROUND(I88/C88,2)</f>
        <v/>
      </c>
      <c r="K88" s="3">
        <f>IF(G88&gt;0,ROUND(C88/G88,2),999)</f>
        <v/>
      </c>
      <c r="L88" s="3">
        <f>ROUND(C88/45000*100,2)</f>
        <v/>
      </c>
      <c r="M88" s="3">
        <f>ROUND(4.013073825684009,1)</f>
        <v/>
      </c>
      <c r="N88" s="2" t="inlineStr">
        <is>
          <t>N</t>
        </is>
      </c>
      <c r="O88" s="3" t="n">
        <v>6080</v>
      </c>
      <c r="P88" s="3">
        <f>ROUND(D88/O88,2)</f>
        <v/>
      </c>
      <c r="Q88" s="3" t="n">
        <v>3</v>
      </c>
      <c r="R88" s="2" t="inlineStr">
        <is>
          <t>Seasonal</t>
        </is>
      </c>
      <c r="S88" s="2" t="inlineStr">
        <is>
          <t>Mobile optimization work resulted in CVR improvement of 12%.</t>
        </is>
      </c>
    </row>
    <row r="89">
      <c r="A89" s="4" t="inlineStr">
        <is>
          <t>Nov</t>
        </is>
      </c>
      <c r="B89" s="4" t="inlineStr">
        <is>
          <t>Display/Retargeting</t>
        </is>
      </c>
      <c r="C89" s="5">
        <f>864.92</f>
        <v/>
      </c>
      <c r="D89" s="5" t="n">
        <v>15483</v>
      </c>
      <c r="E89" s="5" t="n">
        <v>1166</v>
      </c>
      <c r="F89" s="5">
        <f>ROUND(E89/D89*100,2)</f>
        <v/>
      </c>
      <c r="G89" s="5" t="n">
        <v>96</v>
      </c>
      <c r="H89" s="5">
        <f>ROUND(G89/E89*100,2)</f>
        <v/>
      </c>
      <c r="I89" s="5">
        <f>2935.39</f>
        <v/>
      </c>
      <c r="J89" s="5">
        <f>ROUND(I89/C89,2)</f>
        <v/>
      </c>
      <c r="K89" s="5">
        <f>IF(G89&gt;0,ROUND(C89/G89,2),999)</f>
        <v/>
      </c>
      <c r="L89" s="5">
        <f>ROUND(C89/45000*100,2)</f>
        <v/>
      </c>
      <c r="M89" s="5">
        <f>ROUND(-3.3855674487429654,1)</f>
        <v/>
      </c>
      <c r="N89" s="4" t="inlineStr">
        <is>
          <t>N</t>
        </is>
      </c>
      <c r="O89" s="5" t="n">
        <v>6411</v>
      </c>
      <c r="P89" s="5">
        <f>ROUND(D89/O89,2)</f>
        <v/>
      </c>
      <c r="Q89" s="5" t="n">
        <v>2</v>
      </c>
      <c r="R89" s="4" t="inlineStr">
        <is>
          <t>Product Demo</t>
        </is>
      </c>
      <c r="S89" s="4" t="inlineStr">
        <is>
          <t>Bundle promotion drove 23% lift in AOV vs non-promo period.</t>
        </is>
      </c>
    </row>
    <row r="90">
      <c r="A90" s="2" t="inlineStr">
        <is>
          <t>Dec</t>
        </is>
      </c>
      <c r="B90" s="2" t="inlineStr">
        <is>
          <t>Google Brand Search</t>
        </is>
      </c>
      <c r="C90" s="3">
        <f>14228.11</f>
        <v/>
      </c>
      <c r="D90" s="3" t="n">
        <v>152070</v>
      </c>
      <c r="E90" s="3" t="n">
        <v>10372</v>
      </c>
      <c r="F90" s="3">
        <f>ROUND(E90/D90*100,2)</f>
        <v/>
      </c>
      <c r="G90" s="3" t="n">
        <v>738</v>
      </c>
      <c r="H90" s="3">
        <f>ROUND(G90/E90*100,2)</f>
        <v/>
      </c>
      <c r="I90" s="3">
        <f>71387.22</f>
        <v/>
      </c>
      <c r="J90" s="3">
        <f>ROUND(I90/C90,2)</f>
        <v/>
      </c>
      <c r="K90" s="3">
        <f>IF(G90&gt;0,ROUND(C90/G90,2),999)</f>
        <v/>
      </c>
      <c r="L90" s="3">
        <f>ROUND(C90/45000*100,2)</f>
        <v/>
      </c>
      <c r="M90" s="3">
        <f>ROUND(-3.0639406106962896,1)</f>
        <v/>
      </c>
      <c r="N90" s="2" t="inlineStr">
        <is>
          <t>Y</t>
        </is>
      </c>
      <c r="O90" s="3" t="n">
        <v>74226</v>
      </c>
      <c r="P90" s="3">
        <f>ROUND(D90/O90,2)</f>
        <v/>
      </c>
      <c r="Q90" s="3" t="n">
        <v>0</v>
      </c>
      <c r="R90" s="2" t="inlineStr">
        <is>
          <t>Seasonal</t>
        </is>
      </c>
      <c r="S90" s="2" t="inlineStr">
        <is>
          <t>Strong CTR from geo-targeted campaigns. ROAS within target. Consider expanding budget.</t>
        </is>
      </c>
    </row>
    <row r="91">
      <c r="A91" s="4" t="inlineStr">
        <is>
          <t>Dec</t>
        </is>
      </c>
      <c r="B91" s="4" t="inlineStr">
        <is>
          <t>Google Generic Search</t>
        </is>
      </c>
      <c r="C91" s="5">
        <f>11533.62</f>
        <v/>
      </c>
      <c r="D91" s="5" t="n">
        <v>209609</v>
      </c>
      <c r="E91" s="5" t="n">
        <v>15872</v>
      </c>
      <c r="F91" s="5">
        <f>ROUND(E91/D91*100,2)</f>
        <v/>
      </c>
      <c r="G91" s="5" t="n">
        <v>1040</v>
      </c>
      <c r="H91" s="5">
        <f>ROUND(G91/E91*100,2)</f>
        <v/>
      </c>
      <c r="I91" s="5">
        <f>44342.16</f>
        <v/>
      </c>
      <c r="J91" s="5">
        <f>ROUND(I91/C91,2)</f>
        <v/>
      </c>
      <c r="K91" s="5">
        <f>IF(G91&gt;0,ROUND(C91/G91,2),999)</f>
        <v/>
      </c>
      <c r="L91" s="5">
        <f>ROUND(C91/45000*100,2)</f>
        <v/>
      </c>
      <c r="M91" s="5">
        <f>ROUND(4.065735242189087,1)</f>
        <v/>
      </c>
      <c r="N91" s="4" t="inlineStr">
        <is>
          <t>N</t>
        </is>
      </c>
      <c r="O91" s="5" t="n">
        <v>140965</v>
      </c>
      <c r="P91" s="5">
        <f>ROUND(D91/O91,2)</f>
        <v/>
      </c>
      <c r="Q91" s="5" t="n">
        <v>0</v>
      </c>
      <c r="R91" s="4" t="inlineStr">
        <is>
          <t>Lifestyle</t>
        </is>
      </c>
      <c r="S91" s="4" t="inlineStr">
        <is>
          <t>Brand awareness campaign (untracked conversions) estimated 8% incremental lift.</t>
        </is>
      </c>
    </row>
    <row r="92">
      <c r="A92" s="2" t="inlineStr">
        <is>
          <t>Dec</t>
        </is>
      </c>
      <c r="B92" s="2" t="inlineStr">
        <is>
          <t>Google Shopping</t>
        </is>
      </c>
      <c r="C92" s="3">
        <f>8188.52</f>
        <v/>
      </c>
      <c r="D92" s="3" t="n">
        <v>98843</v>
      </c>
      <c r="E92" s="3" t="n">
        <v>4521</v>
      </c>
      <c r="F92" s="3">
        <f>ROUND(E92/D92*100,2)</f>
        <v/>
      </c>
      <c r="G92" s="3" t="n">
        <v>224</v>
      </c>
      <c r="H92" s="3">
        <f>ROUND(G92/E92*100,2)</f>
        <v/>
      </c>
      <c r="I92" s="3">
        <f>29316.65</f>
        <v/>
      </c>
      <c r="J92" s="3">
        <f>ROUND(I92/C92,2)</f>
        <v/>
      </c>
      <c r="K92" s="3">
        <f>IF(G92&gt;0,ROUND(C92/G92,2),999)</f>
        <v/>
      </c>
      <c r="L92" s="3">
        <f>ROUND(C92/45000*100,2)</f>
        <v/>
      </c>
      <c r="M92" s="3">
        <f>ROUND(-3.981537150189714,1)</f>
        <v/>
      </c>
      <c r="N92" s="2" t="inlineStr">
        <is>
          <t>N</t>
        </is>
      </c>
      <c r="O92" s="3" t="n">
        <v>48212</v>
      </c>
      <c r="P92" s="3">
        <f>ROUND(D92/O92,2)</f>
        <v/>
      </c>
      <c r="Q92" s="3" t="n">
        <v>2</v>
      </c>
      <c r="R92" s="2" t="inlineStr">
        <is>
          <t>Lifestyle</t>
        </is>
      </c>
      <c r="S92" s="2" t="inlineStr">
        <is>
          <t>New audience segment (Gift Purchasers) outperforming expectations at 5.2x ROAS.</t>
        </is>
      </c>
    </row>
    <row r="93">
      <c r="A93" s="4" t="inlineStr">
        <is>
          <t>Dec</t>
        </is>
      </c>
      <c r="B93" s="4" t="inlineStr">
        <is>
          <t>Meta Prospecting</t>
        </is>
      </c>
      <c r="C93" s="5">
        <f>3335.13</f>
        <v/>
      </c>
      <c r="D93" s="5" t="n">
        <v>42776</v>
      </c>
      <c r="E93" s="5" t="n">
        <v>742</v>
      </c>
      <c r="F93" s="5">
        <f>ROUND(E93/D93*100,2)</f>
        <v/>
      </c>
      <c r="G93" s="5" t="n">
        <v>34</v>
      </c>
      <c r="H93" s="5">
        <f>ROUND(G93/E93*100,2)</f>
        <v/>
      </c>
      <c r="I93" s="5">
        <f>7068.76</f>
        <v/>
      </c>
      <c r="J93" s="5">
        <f>ROUND(I93/C93,2)</f>
        <v/>
      </c>
      <c r="K93" s="5">
        <f>IF(G93&gt;0,ROUND(C93/G93,2),999)</f>
        <v/>
      </c>
      <c r="L93" s="5">
        <f>ROUND(C93/45000*100,2)</f>
        <v/>
      </c>
      <c r="M93" s="5">
        <f>ROUND(4.168591983260972,1)</f>
        <v/>
      </c>
      <c r="N93" s="4" t="inlineStr">
        <is>
          <t>N</t>
        </is>
      </c>
      <c r="O93" s="5" t="n">
        <v>26689</v>
      </c>
      <c r="P93" s="5">
        <f>ROUND(D93/O93,2)</f>
        <v/>
      </c>
      <c r="Q93" s="5" t="n">
        <v>0</v>
      </c>
      <c r="R93" s="4" t="inlineStr">
        <is>
          <t>Seasonal</t>
        </is>
      </c>
      <c r="S93" s="4" t="inlineStr">
        <is>
          <t>Audience lookalike expansion successful; CAC at 18-month low.</t>
        </is>
      </c>
    </row>
    <row r="94">
      <c r="A94" s="2" t="inlineStr">
        <is>
          <t>Dec</t>
        </is>
      </c>
      <c r="B94" s="2" t="inlineStr">
        <is>
          <t>Meta Retargeting</t>
        </is>
      </c>
      <c r="C94" s="3">
        <f>2981.20</f>
        <v/>
      </c>
      <c r="D94" s="3" t="n">
        <v>27642</v>
      </c>
      <c r="E94" s="3" t="n">
        <v>1282</v>
      </c>
      <c r="F94" s="3">
        <f>ROUND(E94/D94*100,2)</f>
        <v/>
      </c>
      <c r="G94" s="3" t="n">
        <v>65</v>
      </c>
      <c r="H94" s="3">
        <f>ROUND(G94/E94*100,2)</f>
        <v/>
      </c>
      <c r="I94" s="3">
        <f>9178.73</f>
        <v/>
      </c>
      <c r="J94" s="3">
        <f>ROUND(I94/C94,2)</f>
        <v/>
      </c>
      <c r="K94" s="3">
        <f>IF(G94&gt;0,ROUND(C94/G94,2),999)</f>
        <v/>
      </c>
      <c r="L94" s="3">
        <f>ROUND(C94/45000*100,2)</f>
        <v/>
      </c>
      <c r="M94" s="3">
        <f>ROUND(-3.9289762342431493,1)</f>
        <v/>
      </c>
      <c r="N94" s="2" t="inlineStr">
        <is>
          <t>N</t>
        </is>
      </c>
      <c r="O94" s="3" t="n">
        <v>9303</v>
      </c>
      <c r="P94" s="3">
        <f>ROUND(D94/O94,2)</f>
        <v/>
      </c>
      <c r="Q94" s="3" t="n">
        <v>2</v>
      </c>
      <c r="R94" s="2" t="inlineStr">
        <is>
          <t>Lifestyle</t>
        </is>
      </c>
      <c r="S94" s="2" t="inlineStr">
        <is>
          <t>New language variant (Italian) tested with Ticino audience; early ROAS 3.8x.</t>
        </is>
      </c>
    </row>
    <row r="95">
      <c r="A95" s="4" t="inlineStr">
        <is>
          <t>Dec</t>
        </is>
      </c>
      <c r="B95" s="4" t="inlineStr">
        <is>
          <t>TikTok</t>
        </is>
      </c>
      <c r="C95" s="5">
        <f>2231.83</f>
        <v/>
      </c>
      <c r="D95" s="5" t="n">
        <v>43731</v>
      </c>
      <c r="E95" s="5" t="n">
        <v>1232</v>
      </c>
      <c r="F95" s="5">
        <f>ROUND(E95/D95*100,2)</f>
        <v/>
      </c>
      <c r="G95" s="5" t="n">
        <v>107</v>
      </c>
      <c r="H95" s="5">
        <f>ROUND(G95/E95*100,2)</f>
        <v/>
      </c>
      <c r="I95" s="5">
        <f>5867.49</f>
        <v/>
      </c>
      <c r="J95" s="5">
        <f>ROUND(I95/C95,2)</f>
        <v/>
      </c>
      <c r="K95" s="5">
        <f>IF(G95&gt;0,ROUND(C95/G95,2),999)</f>
        <v/>
      </c>
      <c r="L95" s="5">
        <f>ROUND(C95/45000*100,2)</f>
        <v/>
      </c>
      <c r="M95" s="5">
        <f>ROUND(-3.5598536012403397,1)</f>
        <v/>
      </c>
      <c r="N95" s="4" t="inlineStr">
        <is>
          <t>N</t>
        </is>
      </c>
      <c r="O95" s="5" t="n">
        <v>26665</v>
      </c>
      <c r="P95" s="5">
        <f>ROUND(D95/O95,2)</f>
        <v/>
      </c>
      <c r="Q95" s="5" t="n">
        <v>2</v>
      </c>
      <c r="R95" s="4" t="inlineStr">
        <is>
          <t>Lifestyle</t>
        </is>
      </c>
      <c r="S95" s="4" t="inlineStr">
        <is>
          <t>Video content format tested; CPV 18% below benchmark average.</t>
        </is>
      </c>
    </row>
    <row r="96">
      <c r="A96" s="2" t="inlineStr">
        <is>
          <t>Dec</t>
        </is>
      </c>
      <c r="B96" s="2" t="inlineStr">
        <is>
          <t>YouTube</t>
        </is>
      </c>
      <c r="C96" s="3">
        <f>1237.14</f>
        <v/>
      </c>
      <c r="D96" s="3" t="n">
        <v>19954</v>
      </c>
      <c r="E96" s="3" t="n">
        <v>1040</v>
      </c>
      <c r="F96" s="3">
        <f>ROUND(E96/D96*100,2)</f>
        <v/>
      </c>
      <c r="G96" s="3" t="n">
        <v>86</v>
      </c>
      <c r="H96" s="3">
        <f>ROUND(G96/E96*100,2)</f>
        <v/>
      </c>
      <c r="I96" s="3">
        <f>4138.13</f>
        <v/>
      </c>
      <c r="J96" s="3">
        <f>ROUND(I96/C96,2)</f>
        <v/>
      </c>
      <c r="K96" s="3">
        <f>IF(G96&gt;0,ROUND(C96/G96,2),999)</f>
        <v/>
      </c>
      <c r="L96" s="3">
        <f>ROUND(C96/45000*100,2)</f>
        <v/>
      </c>
      <c r="M96" s="3">
        <f>ROUND(-4.077426462343741,1)</f>
        <v/>
      </c>
      <c r="N96" s="2" t="inlineStr">
        <is>
          <t>N</t>
        </is>
      </c>
      <c r="O96" s="3" t="n">
        <v>12472</v>
      </c>
      <c r="P96" s="3">
        <f>ROUND(D96/O96,2)</f>
        <v/>
      </c>
      <c r="Q96" s="3" t="n">
        <v>2</v>
      </c>
      <c r="R96" s="2" t="inlineStr">
        <is>
          <t>Product Demo</t>
        </is>
      </c>
      <c r="S96" s="2" t="inlineStr">
        <is>
          <t>Competitor price drop required messaging adjustment; maintained margin.</t>
        </is>
      </c>
    </row>
    <row r="97">
      <c r="A97" s="4" t="inlineStr">
        <is>
          <t>Dec</t>
        </is>
      </c>
      <c r="B97" s="4" t="inlineStr">
        <is>
          <t>Display/Retargeting</t>
        </is>
      </c>
      <c r="C97" s="5">
        <f>830.45</f>
        <v/>
      </c>
      <c r="D97" s="5" t="n">
        <v>6883</v>
      </c>
      <c r="E97" s="5" t="n">
        <v>341</v>
      </c>
      <c r="F97" s="5">
        <f>ROUND(E97/D97*100,2)</f>
        <v/>
      </c>
      <c r="G97" s="5" t="n">
        <v>29</v>
      </c>
      <c r="H97" s="5">
        <f>ROUND(G97/E97*100,2)</f>
        <v/>
      </c>
      <c r="I97" s="5">
        <f>2814.16</f>
        <v/>
      </c>
      <c r="J97" s="5">
        <f>ROUND(I97/C97,2)</f>
        <v/>
      </c>
      <c r="K97" s="5">
        <f>IF(G97&gt;0,ROUND(C97/G97,2),999)</f>
        <v/>
      </c>
      <c r="L97" s="5">
        <f>ROUND(C97/45000*100,2)</f>
        <v/>
      </c>
      <c r="M97" s="5">
        <f>ROUND(-1.4365639383421562,1)</f>
        <v/>
      </c>
      <c r="N97" s="4" t="inlineStr">
        <is>
          <t>N</t>
        </is>
      </c>
      <c r="O97" s="5" t="n">
        <v>2158</v>
      </c>
      <c r="P97" s="5">
        <f>ROUND(D97/O97,2)</f>
        <v/>
      </c>
      <c r="Q97" s="5" t="n">
        <v>0</v>
      </c>
      <c r="R97" s="4" t="inlineStr">
        <is>
          <t>Promotional</t>
        </is>
      </c>
      <c r="S97" s="4" t="inlineStr">
        <is>
          <t>Frequency capping adjustment reduced ad fatigue, improved CTR by 6%.</t>
        </is>
      </c>
    </row>
    <row r="98">
      <c r="A98" t="inlineStr">
        <is>
          <t>TOTAL</t>
        </is>
      </c>
      <c r="C98">
        <f>SUM(C2:C97)</f>
        <v/>
      </c>
      <c r="D98">
        <f>SUM(D2:D97)</f>
        <v/>
      </c>
      <c r="E98">
        <f>SUM(E2:E97)</f>
        <v/>
      </c>
      <c r="F98">
        <f>ROUND(AVERAGE(F2:F97),2)</f>
        <v/>
      </c>
      <c r="G98">
        <f>SUM(G2:G97)</f>
        <v/>
      </c>
      <c r="H98">
        <f>ROUND(AVERAGE(H2:H97),2)</f>
        <v/>
      </c>
      <c r="I98">
        <f>SUM(I2:I97)</f>
        <v/>
      </c>
      <c r="J98">
        <f>ROUND(I98/C98,2)</f>
        <v/>
      </c>
      <c r="K98">
        <f>ROUND(C98/G98,2)</f>
        <v/>
      </c>
      <c r="L98">
        <f>ROUND(SUM(L2:L97),1)</f>
        <v/>
      </c>
      <c r="O98">
        <f>SUM(O2:O97)</f>
        <v/>
      </c>
      <c r="P98">
        <f>ROUND(AVERAGE(P2:P97),2)</f>
        <v/>
      </c>
      <c r="Q98">
        <f>SUM(Q2:Q97)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25" customWidth="1" min="19" max="19"/>
    <col width="35" customWidth="1" min="20" max="20"/>
  </cols>
  <sheetData>
    <row r="1">
      <c r="A1" s="1" t="inlineStr">
        <is>
          <t>Cohort Month</t>
        </is>
      </c>
      <c r="B1" s="1" t="inlineStr">
        <is>
          <t>Acquisition Channel</t>
        </is>
      </c>
      <c r="C1" s="1" t="inlineStr">
        <is>
          <t>New Subscribers</t>
        </is>
      </c>
      <c r="D1" s="1" t="inlineStr">
        <is>
          <t>Month 0 (100%)</t>
        </is>
      </c>
      <c r="E1" s="1" t="inlineStr">
        <is>
          <t>Month 1 Retention (%)</t>
        </is>
      </c>
      <c r="F1" s="1" t="inlineStr">
        <is>
          <t>Month 2 (%)</t>
        </is>
      </c>
      <c r="G1" s="1" t="inlineStr">
        <is>
          <t>Month 3 (%)</t>
        </is>
      </c>
      <c r="H1" s="1" t="inlineStr">
        <is>
          <t>Month 4 (%)</t>
        </is>
      </c>
      <c r="I1" s="1" t="inlineStr">
        <is>
          <t>Month 5 (%)</t>
        </is>
      </c>
      <c r="J1" s="1" t="inlineStr">
        <is>
          <t>Month 6 (%)</t>
        </is>
      </c>
      <c r="K1" s="1" t="inlineStr">
        <is>
          <t>Month 9 (%)</t>
        </is>
      </c>
      <c r="L1" s="1" t="inlineStr">
        <is>
          <t>Month 12 (%)</t>
        </is>
      </c>
      <c r="M1" s="1" t="inlineStr">
        <is>
          <t>LTV at M6 (CHF)</t>
        </is>
      </c>
      <c r="N1" s="1" t="inlineStr">
        <is>
          <t>LTV at M12 (CHF)</t>
        </is>
      </c>
      <c r="O1" s="1" t="inlineStr">
        <is>
          <t>CAC (CHF)</t>
        </is>
      </c>
      <c r="P1" s="1" t="inlineStr">
        <is>
          <t>LTV:CAC M6</t>
        </is>
      </c>
      <c r="Q1" s="1" t="inlineStr">
        <is>
          <t>LTV:CAC M12</t>
        </is>
      </c>
      <c r="R1" s="1" t="inlineStr">
        <is>
          <t>Payback Period (months)</t>
        </is>
      </c>
      <c r="S1" s="1" t="inlineStr">
        <is>
          <t>Best Retention Channel</t>
        </is>
      </c>
      <c r="T1" s="1" t="inlineStr">
        <is>
          <t>Churn Reasons Noted</t>
        </is>
      </c>
    </row>
    <row r="2">
      <c r="A2" s="2" t="inlineStr">
        <is>
          <t>Jan</t>
        </is>
      </c>
      <c r="B2" s="2" t="inlineStr">
        <is>
          <t>Google Brand Search</t>
        </is>
      </c>
      <c r="C2" s="3" t="n">
        <v>158</v>
      </c>
      <c r="D2" s="3" t="n">
        <v>100</v>
      </c>
      <c r="E2" s="3">
        <f>ROUND(80.75502416768276,1)</f>
        <v/>
      </c>
      <c r="F2" s="3">
        <f>ROUND(71.75526809257138,1)</f>
        <v/>
      </c>
      <c r="G2" s="3">
        <f>ROUND(71.80401885496293,1)</f>
        <v/>
      </c>
      <c r="H2" s="3">
        <f>ROUND(57.995093885181156,1)</f>
        <v/>
      </c>
      <c r="I2" s="3">
        <f>ROUND(56.66521892794654,1)</f>
        <v/>
      </c>
      <c r="J2" s="3">
        <f>ROUND(59.09986918586776,1)</f>
        <v/>
      </c>
      <c r="K2" s="3">
        <f>ROUND(45.49339406213414,1)</f>
        <v/>
      </c>
      <c r="L2" s="3">
        <f>ROUND(41.42110260913729,1)</f>
        <v/>
      </c>
      <c r="M2" s="3">
        <f>31211.10</f>
        <v/>
      </c>
      <c r="N2" s="3">
        <f>3131491.20</f>
        <v/>
      </c>
      <c r="O2" s="3">
        <f>18.05</f>
        <v/>
      </c>
      <c r="P2" s="3">
        <f>ROUND(M2/O2,2)</f>
        <v/>
      </c>
      <c r="Q2" s="3">
        <f>ROUND(N2/O2,2)</f>
        <v/>
      </c>
      <c r="R2" s="3">
        <f>ROUND(0.4010270166957766,1)</f>
        <v/>
      </c>
      <c r="S2" s="2" t="inlineStr">
        <is>
          <t>Meta Retargeting</t>
        </is>
      </c>
      <c r="T2" s="2" t="inlineStr">
        <is>
          <t>Dietary preference change</t>
        </is>
      </c>
    </row>
    <row r="3">
      <c r="A3" s="4" t="inlineStr">
        <is>
          <t>Jan</t>
        </is>
      </c>
      <c r="B3" s="4" t="inlineStr">
        <is>
          <t>Google Generic Search</t>
        </is>
      </c>
      <c r="C3" s="5" t="n">
        <v>188</v>
      </c>
      <c r="D3" s="5" t="n">
        <v>100</v>
      </c>
      <c r="E3" s="5">
        <f>ROUND(87.17715995687965,1)</f>
        <v/>
      </c>
      <c r="F3" s="5">
        <f>ROUND(70.20829967258044,1)</f>
        <v/>
      </c>
      <c r="G3" s="5">
        <f>ROUND(71.10324140495993,1)</f>
        <v/>
      </c>
      <c r="H3" s="5">
        <f>ROUND(66.71170636693306,1)</f>
        <v/>
      </c>
      <c r="I3" s="5">
        <f>ROUND(56.77208899439443,1)</f>
        <v/>
      </c>
      <c r="J3" s="5">
        <f>ROUND(53.14023729728622,1)</f>
        <v/>
      </c>
      <c r="K3" s="5">
        <f>ROUND(48.01319470944877,1)</f>
        <v/>
      </c>
      <c r="L3" s="5">
        <f>ROUND(39.814567771421,1)</f>
        <v/>
      </c>
      <c r="M3" s="5">
        <f>38236.87</f>
        <v/>
      </c>
      <c r="N3" s="5">
        <f>3835613.21</f>
        <v/>
      </c>
      <c r="O3" s="5">
        <f>22.60</f>
        <v/>
      </c>
      <c r="P3" s="5">
        <f>ROUND(M3/O3,2)</f>
        <v/>
      </c>
      <c r="Q3" s="5">
        <f>ROUND(N3/O3,2)</f>
        <v/>
      </c>
      <c r="R3" s="5">
        <f>ROUND(0.5023005314955493,1)</f>
        <v/>
      </c>
      <c r="S3" s="4" t="inlineStr">
        <is>
          <t>Meta Retargeting</t>
        </is>
      </c>
      <c r="T3" s="4" t="inlineStr">
        <is>
          <t>Competitive offer redemption</t>
        </is>
      </c>
    </row>
    <row r="4">
      <c r="A4" s="2" t="inlineStr">
        <is>
          <t>Jan</t>
        </is>
      </c>
      <c r="B4" s="2" t="inlineStr">
        <is>
          <t>Meta Prospecting</t>
        </is>
      </c>
      <c r="C4" s="3" t="n">
        <v>150</v>
      </c>
      <c r="D4" s="3" t="n">
        <v>100</v>
      </c>
      <c r="E4" s="3">
        <f>ROUND(86.98585404241831,1)</f>
        <v/>
      </c>
      <c r="F4" s="3">
        <f>ROUND(79.87492944536955,1)</f>
        <v/>
      </c>
      <c r="G4" s="3">
        <f>ROUND(68.68962819476266,1)</f>
        <v/>
      </c>
      <c r="H4" s="3">
        <f>ROUND(58.127593022987796,1)</f>
        <v/>
      </c>
      <c r="I4" s="3">
        <f>ROUND(56.30456727143457,1)</f>
        <v/>
      </c>
      <c r="J4" s="3">
        <f>ROUND(53.19130005004868,1)</f>
        <v/>
      </c>
      <c r="K4" s="3">
        <f>ROUND(49.63435506943863,1)</f>
        <v/>
      </c>
      <c r="L4" s="3">
        <f>ROUND(44.02685031370604,1)</f>
        <v/>
      </c>
      <c r="M4" s="3">
        <f>30373.82</f>
        <v/>
      </c>
      <c r="N4" s="3">
        <f>3047294.90</f>
        <v/>
      </c>
      <c r="O4" s="3">
        <f>27.12</f>
        <v/>
      </c>
      <c r="P4" s="3">
        <f>ROUND(M4/O4,2)</f>
        <v/>
      </c>
      <c r="Q4" s="3">
        <f>ROUND(N4/O4,2)</f>
        <v/>
      </c>
      <c r="R4" s="3">
        <f>ROUND(0.6027025755595419,1)</f>
        <v/>
      </c>
      <c r="S4" s="2" t="inlineStr">
        <is>
          <t>Google Brand</t>
        </is>
      </c>
      <c r="T4" s="2" t="inlineStr">
        <is>
          <t>Low engagement with emails</t>
        </is>
      </c>
    </row>
    <row r="5">
      <c r="A5" s="4" t="inlineStr">
        <is>
          <t>Jan</t>
        </is>
      </c>
      <c r="B5" s="4" t="inlineStr">
        <is>
          <t>Google Shopping</t>
        </is>
      </c>
      <c r="C5" s="5" t="n">
        <v>243</v>
      </c>
      <c r="D5" s="5" t="n">
        <v>100</v>
      </c>
      <c r="E5" s="5">
        <f>ROUND(85.31149598405943,1)</f>
        <v/>
      </c>
      <c r="F5" s="5">
        <f>ROUND(70.80296858345955,1)</f>
        <v/>
      </c>
      <c r="G5" s="5">
        <f>ROUND(69.22309737014041,1)</f>
        <v/>
      </c>
      <c r="H5" s="5">
        <f>ROUND(64.93459903306609,1)</f>
        <v/>
      </c>
      <c r="I5" s="5">
        <f>ROUND(55.103134146835046,1)</f>
        <v/>
      </c>
      <c r="J5" s="5">
        <f>ROUND(58.90049734532178,1)</f>
        <v/>
      </c>
      <c r="K5" s="5">
        <f>ROUND(50.54656382003027,1)</f>
        <v/>
      </c>
      <c r="L5" s="5">
        <f>ROUND(42.97598592718064,1)</f>
        <v/>
      </c>
      <c r="M5" s="5">
        <f>48701.79</f>
        <v/>
      </c>
      <c r="N5" s="5">
        <f>4886846.31</f>
        <v/>
      </c>
      <c r="O5" s="5">
        <f>23.00</f>
        <v/>
      </c>
      <c r="P5" s="5">
        <f>ROUND(M5/O5,2)</f>
        <v/>
      </c>
      <c r="Q5" s="5">
        <f>ROUND(N5/O5,2)</f>
        <v/>
      </c>
      <c r="R5" s="5">
        <f>ROUND(0.5110967435506225,1)</f>
        <v/>
      </c>
      <c r="S5" s="4" t="inlineStr">
        <is>
          <t>Meta Retargeting</t>
        </is>
      </c>
      <c r="T5" s="4" t="inlineStr">
        <is>
          <t>Dietary preference change</t>
        </is>
      </c>
    </row>
    <row r="6">
      <c r="A6" s="2" t="inlineStr">
        <is>
          <t>Jan</t>
        </is>
      </c>
      <c r="B6" s="2" t="inlineStr">
        <is>
          <t>TikTok</t>
        </is>
      </c>
      <c r="C6" s="3" t="n">
        <v>246</v>
      </c>
      <c r="D6" s="3" t="n">
        <v>100</v>
      </c>
      <c r="E6" s="3">
        <f>ROUND(81.62154647045293,1)</f>
        <v/>
      </c>
      <c r="F6" s="3">
        <f>ROUND(71.9071077811993,1)</f>
        <v/>
      </c>
      <c r="G6" s="3">
        <f>ROUND(65.73363279378123,1)</f>
        <v/>
      </c>
      <c r="H6" s="3">
        <f>ROUND(63.13923411225761,1)</f>
        <v/>
      </c>
      <c r="I6" s="3">
        <f>ROUND(57.4242954481475,1)</f>
        <v/>
      </c>
      <c r="J6" s="3">
        <f>ROUND(53.38841138774198,1)</f>
        <v/>
      </c>
      <c r="K6" s="3">
        <f>ROUND(45.89020152955815,1)</f>
        <v/>
      </c>
      <c r="L6" s="3">
        <f>ROUND(40.43075384018733,1)</f>
        <v/>
      </c>
      <c r="M6" s="3">
        <f>48688.72</f>
        <v/>
      </c>
      <c r="N6" s="3">
        <f>4884337.62</f>
        <v/>
      </c>
      <c r="O6" s="3">
        <f>24.08</f>
        <v/>
      </c>
      <c r="P6" s="3">
        <f>ROUND(M6/O6,2)</f>
        <v/>
      </c>
      <c r="Q6" s="3">
        <f>ROUND(N6/O6,2)</f>
        <v/>
      </c>
      <c r="R6" s="3">
        <f>ROUND(0.5350926185078198,1)</f>
        <v/>
      </c>
      <c r="S6" s="2" t="inlineStr">
        <is>
          <t>Google Brand</t>
        </is>
      </c>
      <c r="T6" s="2" t="inlineStr">
        <is>
          <t>Seasonal reduction (summer)</t>
        </is>
      </c>
    </row>
    <row r="7">
      <c r="A7" s="4" t="inlineStr">
        <is>
          <t>Jan</t>
        </is>
      </c>
      <c r="B7" s="4" t="inlineStr">
        <is>
          <t>YouTube</t>
        </is>
      </c>
      <c r="C7" s="5" t="n">
        <v>230</v>
      </c>
      <c r="D7" s="5" t="n">
        <v>100</v>
      </c>
      <c r="E7" s="5">
        <f>ROUND(83.5891625765446,1)</f>
        <v/>
      </c>
      <c r="F7" s="5">
        <f>ROUND(72.88904370966752,1)</f>
        <v/>
      </c>
      <c r="G7" s="5">
        <f>ROUND(71.77079605430953,1)</f>
        <v/>
      </c>
      <c r="H7" s="5">
        <f>ROUND(65.67618353850689,1)</f>
        <v/>
      </c>
      <c r="I7" s="5">
        <f>ROUND(56.87125754688464,1)</f>
        <v/>
      </c>
      <c r="J7" s="5">
        <f>ROUND(52.88055768614243,1)</f>
        <v/>
      </c>
      <c r="K7" s="5">
        <f>ROUND(49.130067964608905,1)</f>
        <v/>
      </c>
      <c r="L7" s="5">
        <f>ROUND(44.83512932525466,1)</f>
        <v/>
      </c>
      <c r="M7" s="5">
        <f>46657.43</f>
        <v/>
      </c>
      <c r="N7" s="5">
        <f>4680941.73</f>
        <v/>
      </c>
      <c r="O7" s="5">
        <f>18.93</f>
        <v/>
      </c>
      <c r="P7" s="5">
        <f>ROUND(M7/O7,2)</f>
        <v/>
      </c>
      <c r="Q7" s="5">
        <f>ROUND(N7/O7,2)</f>
        <v/>
      </c>
      <c r="R7" s="5">
        <f>ROUND(0.4206100309813558,1)</f>
        <v/>
      </c>
      <c r="S7" s="4" t="inlineStr">
        <is>
          <t>Google Shopping</t>
        </is>
      </c>
      <c r="T7" s="4" t="inlineStr">
        <is>
          <t>Low engagement with emails</t>
        </is>
      </c>
    </row>
    <row r="8">
      <c r="A8" s="2" t="inlineStr">
        <is>
          <t>Feb</t>
        </is>
      </c>
      <c r="B8" s="2" t="inlineStr">
        <is>
          <t>Google Brand Search</t>
        </is>
      </c>
      <c r="C8" s="3" t="n">
        <v>206</v>
      </c>
      <c r="D8" s="3" t="n">
        <v>100</v>
      </c>
      <c r="E8" s="3">
        <f>ROUND(83.61504788050091,1)</f>
        <v/>
      </c>
      <c r="F8" s="3">
        <f>ROUND(78.0926395212229,1)</f>
        <v/>
      </c>
      <c r="G8" s="3">
        <f>ROUND(64.80163477600352,1)</f>
        <v/>
      </c>
      <c r="H8" s="3">
        <f>ROUND(63.68632139923263,1)</f>
        <v/>
      </c>
      <c r="I8" s="3">
        <f>ROUND(53.472700455014774,1)</f>
        <v/>
      </c>
      <c r="J8" s="3">
        <f>ROUND(53.15079559528352,1)</f>
        <v/>
      </c>
      <c r="K8" s="3">
        <f>ROUND(47.042330747508345,1)</f>
        <v/>
      </c>
      <c r="L8" s="3">
        <f>ROUND(44.502594252463865,1)</f>
        <v/>
      </c>
      <c r="M8" s="3">
        <f>41128.06</f>
        <v/>
      </c>
      <c r="N8" s="3">
        <f>4126218.84</f>
        <v/>
      </c>
      <c r="O8" s="3">
        <f>18.04</f>
        <v/>
      </c>
      <c r="P8" s="3">
        <f>ROUND(M8/O8,2)</f>
        <v/>
      </c>
      <c r="Q8" s="3">
        <f>ROUND(N8/O8,2)</f>
        <v/>
      </c>
      <c r="R8" s="3">
        <f>ROUND(0.4008955903276361,1)</f>
        <v/>
      </c>
      <c r="S8" s="2" t="inlineStr">
        <is>
          <t>Google Brand</t>
        </is>
      </c>
      <c r="T8" s="2" t="inlineStr">
        <is>
          <t>Better competitor bundle offer</t>
        </is>
      </c>
    </row>
    <row r="9">
      <c r="A9" s="4" t="inlineStr">
        <is>
          <t>Feb</t>
        </is>
      </c>
      <c r="B9" s="4" t="inlineStr">
        <is>
          <t>Google Generic Search</t>
        </is>
      </c>
      <c r="C9" s="5" t="n">
        <v>229</v>
      </c>
      <c r="D9" s="5" t="n">
        <v>100</v>
      </c>
      <c r="E9" s="5">
        <f>ROUND(84.15560922796037,1)</f>
        <v/>
      </c>
      <c r="F9" s="5">
        <f>ROUND(76.25592668251456,1)</f>
        <v/>
      </c>
      <c r="G9" s="5">
        <f>ROUND(71.03123280953257,1)</f>
        <v/>
      </c>
      <c r="H9" s="5">
        <f>ROUND(61.905985518660515,1)</f>
        <v/>
      </c>
      <c r="I9" s="5">
        <f>ROUND(54.3572697543234,1)</f>
        <v/>
      </c>
      <c r="J9" s="5">
        <f>ROUND(52.45741025320095,1)</f>
        <v/>
      </c>
      <c r="K9" s="5">
        <f>ROUND(48.975608316831405,1)</f>
        <v/>
      </c>
      <c r="L9" s="5">
        <f>ROUND(44.561097500773435,1)</f>
        <v/>
      </c>
      <c r="M9" s="5">
        <f>46136.11</f>
        <v/>
      </c>
      <c r="N9" s="5">
        <f>4628655.27</f>
        <v/>
      </c>
      <c r="O9" s="5">
        <f>25.56</f>
        <v/>
      </c>
      <c r="P9" s="5">
        <f>ROUND(M9/O9,2)</f>
        <v/>
      </c>
      <c r="Q9" s="5">
        <f>ROUND(N9/O9,2)</f>
        <v/>
      </c>
      <c r="R9" s="5">
        <f>ROUND(0.5681110500574961,1)</f>
        <v/>
      </c>
      <c r="S9" s="4" t="inlineStr">
        <is>
          <t>Google Shopping</t>
        </is>
      </c>
      <c r="T9" s="4" t="inlineStr">
        <is>
          <t>Shipping delays in Q4</t>
        </is>
      </c>
    </row>
    <row r="10">
      <c r="A10" s="2" t="inlineStr">
        <is>
          <t>Feb</t>
        </is>
      </c>
      <c r="B10" s="2" t="inlineStr">
        <is>
          <t>Meta Prospecting</t>
        </is>
      </c>
      <c r="C10" s="3" t="n">
        <v>174</v>
      </c>
      <c r="D10" s="3" t="n">
        <v>100</v>
      </c>
      <c r="E10" s="3">
        <f>ROUND(82.40302380365667,1)</f>
        <v/>
      </c>
      <c r="F10" s="3">
        <f>ROUND(79.47567110473382,1)</f>
        <v/>
      </c>
      <c r="G10" s="3">
        <f>ROUND(63.465910588222435,1)</f>
        <v/>
      </c>
      <c r="H10" s="3">
        <f>ROUND(57.25167546513043,1)</f>
        <v/>
      </c>
      <c r="I10" s="3">
        <f>ROUND(53.38840195228872,1)</f>
        <v/>
      </c>
      <c r="J10" s="3">
        <f>ROUND(57.24848217822945,1)</f>
        <v/>
      </c>
      <c r="K10" s="3">
        <f>ROUND(50.56904631128127,1)</f>
        <v/>
      </c>
      <c r="L10" s="3">
        <f>ROUND(43.174204882496646,1)</f>
        <v/>
      </c>
      <c r="M10" s="3">
        <f>34137.60</f>
        <v/>
      </c>
      <c r="N10" s="3">
        <f>3425582.72</f>
        <v/>
      </c>
      <c r="O10" s="3">
        <f>25.35</f>
        <v/>
      </c>
      <c r="P10" s="3">
        <f>ROUND(M10/O10,2)</f>
        <v/>
      </c>
      <c r="Q10" s="3">
        <f>ROUND(N10/O10,2)</f>
        <v/>
      </c>
      <c r="R10" s="3">
        <f>ROUND(0.5632392738713808,1)</f>
        <v/>
      </c>
      <c r="S10" s="2" t="inlineStr">
        <is>
          <t>Meta Retargeting</t>
        </is>
      </c>
      <c r="T10" s="2" t="inlineStr">
        <is>
          <t>Product quality mismatch</t>
        </is>
      </c>
    </row>
    <row r="11">
      <c r="A11" s="4" t="inlineStr">
        <is>
          <t>Feb</t>
        </is>
      </c>
      <c r="B11" s="4" t="inlineStr">
        <is>
          <t>Google Shopping</t>
        </is>
      </c>
      <c r="C11" s="5" t="n">
        <v>193</v>
      </c>
      <c r="D11" s="5" t="n">
        <v>100</v>
      </c>
      <c r="E11" s="5">
        <f>ROUND(85.68332947771572,1)</f>
        <v/>
      </c>
      <c r="F11" s="5">
        <f>ROUND(70.08152833633534,1)</f>
        <v/>
      </c>
      <c r="G11" s="5">
        <f>ROUND(72.47706719728829,1)</f>
        <v/>
      </c>
      <c r="H11" s="5">
        <f>ROUND(58.76256899864962,1)</f>
        <v/>
      </c>
      <c r="I11" s="5">
        <f>ROUND(60.63341746357561,1)</f>
        <v/>
      </c>
      <c r="J11" s="5">
        <f>ROUND(53.4661617752497,1)</f>
        <v/>
      </c>
      <c r="K11" s="5">
        <f>ROUND(49.80025683271792,1)</f>
        <v/>
      </c>
      <c r="L11" s="5">
        <f>ROUND(40.82203208521691,1)</f>
        <v/>
      </c>
      <c r="M11" s="5">
        <f>38877.35</f>
        <v/>
      </c>
      <c r="N11" s="5">
        <f>3900249.34</f>
        <v/>
      </c>
      <c r="O11" s="5">
        <f>21.88</f>
        <v/>
      </c>
      <c r="P11" s="5">
        <f>ROUND(M11/O11,2)</f>
        <v/>
      </c>
      <c r="Q11" s="5">
        <f>ROUND(N11/O11,2)</f>
        <v/>
      </c>
      <c r="R11" s="5">
        <f>ROUND(0.4863186083545675,1)</f>
        <v/>
      </c>
      <c r="S11" s="4" t="inlineStr">
        <is>
          <t>Google Shopping</t>
        </is>
      </c>
      <c r="T11" s="4" t="inlineStr">
        <is>
          <t>Product quality mismatch</t>
        </is>
      </c>
    </row>
    <row r="12">
      <c r="A12" s="2" t="inlineStr">
        <is>
          <t>Feb</t>
        </is>
      </c>
      <c r="B12" s="2" t="inlineStr">
        <is>
          <t>TikTok</t>
        </is>
      </c>
      <c r="C12" s="3" t="n">
        <v>159</v>
      </c>
      <c r="D12" s="3" t="n">
        <v>100</v>
      </c>
      <c r="E12" s="3">
        <f>ROUND(89.92491434180852,1)</f>
        <v/>
      </c>
      <c r="F12" s="3">
        <f>ROUND(75.8609815744361,1)</f>
        <v/>
      </c>
      <c r="G12" s="3">
        <f>ROUND(65.02385927008493,1)</f>
        <v/>
      </c>
      <c r="H12" s="3">
        <f>ROUND(60.80745046919068,1)</f>
        <v/>
      </c>
      <c r="I12" s="3">
        <f>ROUND(59.21292575243204,1)</f>
        <v/>
      </c>
      <c r="J12" s="3">
        <f>ROUND(54.863479377935306,1)</f>
        <v/>
      </c>
      <c r="K12" s="3">
        <f>ROUND(50.821609421642606,1)</f>
        <v/>
      </c>
      <c r="L12" s="3">
        <f>ROUND(41.31041610690429,1)</f>
        <v/>
      </c>
      <c r="M12" s="3">
        <f>32256.90</f>
        <v/>
      </c>
      <c r="N12" s="3">
        <f>3236207.12</f>
        <v/>
      </c>
      <c r="O12" s="3">
        <f>21.63</f>
        <v/>
      </c>
      <c r="P12" s="3">
        <f>ROUND(M12/O12,2)</f>
        <v/>
      </c>
      <c r="Q12" s="3">
        <f>ROUND(N12/O12,2)</f>
        <v/>
      </c>
      <c r="R12" s="3">
        <f>ROUND(0.48072141015825626,1)</f>
        <v/>
      </c>
      <c r="S12" s="2" t="inlineStr">
        <is>
          <t>Google Brand</t>
        </is>
      </c>
      <c r="T12" s="2" t="inlineStr">
        <is>
          <t>Payment method failure</t>
        </is>
      </c>
    </row>
    <row r="13">
      <c r="A13" s="4" t="inlineStr">
        <is>
          <t>Feb</t>
        </is>
      </c>
      <c r="B13" s="4" t="inlineStr">
        <is>
          <t>YouTube</t>
        </is>
      </c>
      <c r="C13" s="5" t="n">
        <v>242</v>
      </c>
      <c r="D13" s="5" t="n">
        <v>100</v>
      </c>
      <c r="E13" s="5">
        <f>ROUND(81.17739667387276,1)</f>
        <v/>
      </c>
      <c r="F13" s="5">
        <f>ROUND(72.46228753587854,1)</f>
        <v/>
      </c>
      <c r="G13" s="5">
        <f>ROUND(67.9941629669358,1)</f>
        <v/>
      </c>
      <c r="H13" s="5">
        <f>ROUND(65.49231090846561,1)</f>
        <v/>
      </c>
      <c r="I13" s="5">
        <f>ROUND(54.96745201840419,1)</f>
        <v/>
      </c>
      <c r="J13" s="5">
        <f>ROUND(59.45995369436898,1)</f>
        <v/>
      </c>
      <c r="K13" s="5">
        <f>ROUND(46.618588466996954,1)</f>
        <v/>
      </c>
      <c r="L13" s="5">
        <f>ROUND(43.840001661565,1)</f>
        <v/>
      </c>
      <c r="M13" s="5">
        <f>48143.99</f>
        <v/>
      </c>
      <c r="N13" s="5">
        <f>4830725.54</f>
        <v/>
      </c>
      <c r="O13" s="5">
        <f>19.69</f>
        <v/>
      </c>
      <c r="P13" s="5">
        <f>ROUND(M13/O13,2)</f>
        <v/>
      </c>
      <c r="Q13" s="5">
        <f>ROUND(N13/O13,2)</f>
        <v/>
      </c>
      <c r="R13" s="5">
        <f>ROUND(0.43764288067516066,1)</f>
        <v/>
      </c>
      <c r="S13" s="4" t="inlineStr">
        <is>
          <t>Meta Retargeting</t>
        </is>
      </c>
      <c r="T13" s="4" t="inlineStr">
        <is>
          <t>Low engagement with emails</t>
        </is>
      </c>
    </row>
    <row r="14">
      <c r="A14" s="2" t="inlineStr">
        <is>
          <t>Mar</t>
        </is>
      </c>
      <c r="B14" s="2" t="inlineStr">
        <is>
          <t>Google Brand Search</t>
        </is>
      </c>
      <c r="C14" s="3" t="n">
        <v>220</v>
      </c>
      <c r="D14" s="3" t="n">
        <v>100</v>
      </c>
      <c r="E14" s="3">
        <f>ROUND(84.82651566739072,1)</f>
        <v/>
      </c>
      <c r="F14" s="3">
        <f>ROUND(75.41910274220974,1)</f>
        <v/>
      </c>
      <c r="G14" s="3">
        <f>ROUND(72.72736164914409,1)</f>
        <v/>
      </c>
      <c r="H14" s="3">
        <f>ROUND(63.16349820482953,1)</f>
        <v/>
      </c>
      <c r="I14" s="3">
        <f>ROUND(56.691037775477234,1)</f>
        <v/>
      </c>
      <c r="J14" s="3">
        <f>ROUND(59.860664449213154,1)</f>
        <v/>
      </c>
      <c r="K14" s="3">
        <f>ROUND(47.692867203532884,1)</f>
        <v/>
      </c>
      <c r="L14" s="3">
        <f>ROUND(42.894685825427445,1)</f>
        <v/>
      </c>
      <c r="M14" s="3">
        <f>44829.92</f>
        <v/>
      </c>
      <c r="N14" s="3">
        <f>4497886.78</f>
        <v/>
      </c>
      <c r="O14" s="3">
        <f>17.34</f>
        <v/>
      </c>
      <c r="P14" s="3">
        <f>ROUND(M14/O14,2)</f>
        <v/>
      </c>
      <c r="Q14" s="3">
        <f>ROUND(N14/O14,2)</f>
        <v/>
      </c>
      <c r="R14" s="3">
        <f>ROUND(0.38530568770880586,1)</f>
        <v/>
      </c>
      <c r="S14" s="2" t="inlineStr">
        <is>
          <t>Meta Retargeting</t>
        </is>
      </c>
      <c r="T14" s="2" t="inlineStr">
        <is>
          <t>Low engagement with emails</t>
        </is>
      </c>
    </row>
    <row r="15">
      <c r="A15" s="4" t="inlineStr">
        <is>
          <t>Mar</t>
        </is>
      </c>
      <c r="B15" s="4" t="inlineStr">
        <is>
          <t>Google Generic Search</t>
        </is>
      </c>
      <c r="C15" s="5" t="n">
        <v>197</v>
      </c>
      <c r="D15" s="5" t="n">
        <v>100</v>
      </c>
      <c r="E15" s="5">
        <f>ROUND(84.83379054538312,1)</f>
        <v/>
      </c>
      <c r="F15" s="5">
        <f>ROUND(79.75748711631815,1)</f>
        <v/>
      </c>
      <c r="G15" s="5">
        <f>ROUND(65.97509861884143,1)</f>
        <v/>
      </c>
      <c r="H15" s="5">
        <f>ROUND(63.436712691325106,1)</f>
        <v/>
      </c>
      <c r="I15" s="5">
        <f>ROUND(59.26103194877747,1)</f>
        <v/>
      </c>
      <c r="J15" s="5">
        <f>ROUND(53.46142413256358,1)</f>
        <v/>
      </c>
      <c r="K15" s="5">
        <f>ROUND(49.788980268395996,1)</f>
        <v/>
      </c>
      <c r="L15" s="5">
        <f>ROUND(41.225300704231245,1)</f>
        <v/>
      </c>
      <c r="M15" s="5">
        <f>40181.86</f>
        <v/>
      </c>
      <c r="N15" s="5">
        <f>4030994.20</f>
        <v/>
      </c>
      <c r="O15" s="5">
        <f>24.41</f>
        <v/>
      </c>
      <c r="P15" s="5">
        <f>ROUND(M15/O15,2)</f>
        <v/>
      </c>
      <c r="Q15" s="5">
        <f>ROUND(N15/O15,2)</f>
        <v/>
      </c>
      <c r="R15" s="5">
        <f>ROUND(0.5423772307284556,1)</f>
        <v/>
      </c>
      <c r="S15" s="4" t="inlineStr">
        <is>
          <t>Google Shopping</t>
        </is>
      </c>
      <c r="T15" s="4" t="inlineStr">
        <is>
          <t>Lifestyle change (travel/relocation)</t>
        </is>
      </c>
    </row>
    <row r="16">
      <c r="A16" s="2" t="inlineStr">
        <is>
          <t>Mar</t>
        </is>
      </c>
      <c r="B16" s="2" t="inlineStr">
        <is>
          <t>Meta Prospecting</t>
        </is>
      </c>
      <c r="C16" s="3" t="n">
        <v>173</v>
      </c>
      <c r="D16" s="3" t="n">
        <v>100</v>
      </c>
      <c r="E16" s="3">
        <f>ROUND(87.9443159221122,1)</f>
        <v/>
      </c>
      <c r="F16" s="3">
        <f>ROUND(78.82455488543243,1)</f>
        <v/>
      </c>
      <c r="G16" s="3">
        <f>ROUND(70.38888542380262,1)</f>
        <v/>
      </c>
      <c r="H16" s="3">
        <f>ROUND(62.52010690897837,1)</f>
        <v/>
      </c>
      <c r="I16" s="3">
        <f>ROUND(62.95906206345808,1)</f>
        <v/>
      </c>
      <c r="J16" s="3">
        <f>ROUND(53.403695890295495,1)</f>
        <v/>
      </c>
      <c r="K16" s="3">
        <f>ROUND(48.02637902114169,1)</f>
        <v/>
      </c>
      <c r="L16" s="3">
        <f>ROUND(41.27630758893464,1)</f>
        <v/>
      </c>
      <c r="M16" s="3">
        <f>36016.28</f>
        <v/>
      </c>
      <c r="N16" s="3">
        <f>3612738.15</f>
        <v/>
      </c>
      <c r="O16" s="3">
        <f>27.42</f>
        <v/>
      </c>
      <c r="P16" s="3">
        <f>ROUND(M16/O16,2)</f>
        <v/>
      </c>
      <c r="Q16" s="3">
        <f>ROUND(N16/O16,2)</f>
        <v/>
      </c>
      <c r="R16" s="3">
        <f>ROUND(0.609442856092361,1)</f>
        <v/>
      </c>
      <c r="S16" s="2" t="inlineStr">
        <is>
          <t>Google Brand</t>
        </is>
      </c>
      <c r="T16" s="2" t="inlineStr">
        <is>
          <t>Payment method failure</t>
        </is>
      </c>
    </row>
    <row r="17">
      <c r="A17" s="4" t="inlineStr">
        <is>
          <t>Mar</t>
        </is>
      </c>
      <c r="B17" s="4" t="inlineStr">
        <is>
          <t>Google Shopping</t>
        </is>
      </c>
      <c r="C17" s="5" t="n">
        <v>157</v>
      </c>
      <c r="D17" s="5" t="n">
        <v>100</v>
      </c>
      <c r="E17" s="5">
        <f>ROUND(84.91408514673842,1)</f>
        <v/>
      </c>
      <c r="F17" s="5">
        <f>ROUND(71.39175790519336,1)</f>
        <v/>
      </c>
      <c r="G17" s="5">
        <f>ROUND(69.12643096648553,1)</f>
        <v/>
      </c>
      <c r="H17" s="5">
        <f>ROUND(64.08266396656137,1)</f>
        <v/>
      </c>
      <c r="I17" s="5">
        <f>ROUND(62.21110554944127,1)</f>
        <v/>
      </c>
      <c r="J17" s="5">
        <f>ROUND(50.79220066035106,1)</f>
        <v/>
      </c>
      <c r="K17" s="5">
        <f>ROUND(46.41527127356378,1)</f>
        <v/>
      </c>
      <c r="L17" s="5">
        <f>ROUND(40.775802176177,1)</f>
        <v/>
      </c>
      <c r="M17" s="5">
        <f>31914.44</f>
        <v/>
      </c>
      <c r="N17" s="5">
        <f>3201193.02</f>
        <v/>
      </c>
      <c r="O17" s="5">
        <f>22.85</f>
        <v/>
      </c>
      <c r="P17" s="5">
        <f>ROUND(M17/O17,2)</f>
        <v/>
      </c>
      <c r="Q17" s="5">
        <f>ROUND(N17/O17,2)</f>
        <v/>
      </c>
      <c r="R17" s="5">
        <f>ROUND(0.5077230539136727,1)</f>
        <v/>
      </c>
      <c r="S17" s="4" t="inlineStr">
        <is>
          <t>Meta Retargeting</t>
        </is>
      </c>
      <c r="T17" s="4" t="inlineStr">
        <is>
          <t>Price sensitivity post-trial</t>
        </is>
      </c>
    </row>
    <row r="18">
      <c r="A18" s="2" t="inlineStr">
        <is>
          <t>Mar</t>
        </is>
      </c>
      <c r="B18" s="2" t="inlineStr">
        <is>
          <t>TikTok</t>
        </is>
      </c>
      <c r="C18" s="3" t="n">
        <v>163</v>
      </c>
      <c r="D18" s="3" t="n">
        <v>100</v>
      </c>
      <c r="E18" s="3">
        <f>ROUND(83.11257943863332,1)</f>
        <v/>
      </c>
      <c r="F18" s="3">
        <f>ROUND(70.6375278621523,1)</f>
        <v/>
      </c>
      <c r="G18" s="3">
        <f>ROUND(66.22468806370544,1)</f>
        <v/>
      </c>
      <c r="H18" s="3">
        <f>ROUND(63.73163286310433,1)</f>
        <v/>
      </c>
      <c r="I18" s="3">
        <f>ROUND(60.49071409106207,1)</f>
        <v/>
      </c>
      <c r="J18" s="3">
        <f>ROUND(53.52718304512861,1)</f>
        <v/>
      </c>
      <c r="K18" s="3">
        <f>ROUND(48.00907269391313,1)</f>
        <v/>
      </c>
      <c r="L18" s="3">
        <f>ROUND(42.91885408396801,1)</f>
        <v/>
      </c>
      <c r="M18" s="3">
        <f>32581.86</f>
        <v/>
      </c>
      <c r="N18" s="3">
        <f>3268781.82</f>
        <v/>
      </c>
      <c r="O18" s="3">
        <f>24.35</f>
        <v/>
      </c>
      <c r="P18" s="3">
        <f>ROUND(M18/O18,2)</f>
        <v/>
      </c>
      <c r="Q18" s="3">
        <f>ROUND(N18/O18,2)</f>
        <v/>
      </c>
      <c r="R18" s="3">
        <f>ROUND(0.5411552154665507,1)</f>
        <v/>
      </c>
      <c r="S18" s="2" t="inlineStr">
        <is>
          <t>Meta Retargeting</t>
        </is>
      </c>
      <c r="T18" s="2" t="inlineStr">
        <is>
          <t>Payment method failure</t>
        </is>
      </c>
    </row>
    <row r="19">
      <c r="A19" s="4" t="inlineStr">
        <is>
          <t>Mar</t>
        </is>
      </c>
      <c r="B19" s="4" t="inlineStr">
        <is>
          <t>YouTube</t>
        </is>
      </c>
      <c r="C19" s="5" t="n">
        <v>239</v>
      </c>
      <c r="D19" s="5" t="n">
        <v>100</v>
      </c>
      <c r="E19" s="5">
        <f>ROUND(80.44579609068492,1)</f>
        <v/>
      </c>
      <c r="F19" s="5">
        <f>ROUND(72.1799342657098,1)</f>
        <v/>
      </c>
      <c r="G19" s="5">
        <f>ROUND(66.62247071440375,1)</f>
        <v/>
      </c>
      <c r="H19" s="5">
        <f>ROUND(57.73520533808458,1)</f>
        <v/>
      </c>
      <c r="I19" s="5">
        <f>ROUND(53.24605870900395,1)</f>
        <v/>
      </c>
      <c r="J19" s="5">
        <f>ROUND(56.40529907771647,1)</f>
        <v/>
      </c>
      <c r="K19" s="5">
        <f>ROUND(48.84486891292128,1)</f>
        <v/>
      </c>
      <c r="L19" s="5">
        <f>ROUND(40.35923291732881,1)</f>
        <v/>
      </c>
      <c r="M19" s="5">
        <f>46271.18</f>
        <v/>
      </c>
      <c r="N19" s="5">
        <f>4642778.19</f>
        <v/>
      </c>
      <c r="O19" s="5">
        <f>22.24</f>
        <v/>
      </c>
      <c r="P19" s="5">
        <f>ROUND(M19/O19,2)</f>
        <v/>
      </c>
      <c r="Q19" s="5">
        <f>ROUND(N19/O19,2)</f>
        <v/>
      </c>
      <c r="R19" s="5">
        <f>ROUND(0.4943114455745274,1)</f>
        <v/>
      </c>
      <c r="S19" s="4" t="inlineStr">
        <is>
          <t>Google Brand</t>
        </is>
      </c>
      <c r="T19" s="4" t="inlineStr">
        <is>
          <t>Dietary preference change</t>
        </is>
      </c>
    </row>
    <row r="20">
      <c r="A20" s="2" t="inlineStr">
        <is>
          <t>Apr</t>
        </is>
      </c>
      <c r="B20" s="2" t="inlineStr">
        <is>
          <t>Google Brand Search</t>
        </is>
      </c>
      <c r="C20" s="3" t="n">
        <v>205</v>
      </c>
      <c r="D20" s="3" t="n">
        <v>100</v>
      </c>
      <c r="E20" s="3">
        <f>ROUND(86.62834954278192,1)</f>
        <v/>
      </c>
      <c r="F20" s="3">
        <f>ROUND(75.76650241150335,1)</f>
        <v/>
      </c>
      <c r="G20" s="3">
        <f>ROUND(66.81940462078101,1)</f>
        <v/>
      </c>
      <c r="H20" s="3">
        <f>ROUND(58.83536931672793,1)</f>
        <v/>
      </c>
      <c r="I20" s="3">
        <f>ROUND(62.48184885229141,1)</f>
        <v/>
      </c>
      <c r="J20" s="3">
        <f>ROUND(56.418513734423776,1)</f>
        <v/>
      </c>
      <c r="K20" s="3">
        <f>ROUND(45.37132235583885,1)</f>
        <v/>
      </c>
      <c r="L20" s="3">
        <f>ROUND(44.657363558940204,1)</f>
        <v/>
      </c>
      <c r="M20" s="3">
        <f>41561.53</f>
        <v/>
      </c>
      <c r="N20" s="3">
        <f>4169662.61</f>
        <v/>
      </c>
      <c r="O20" s="3">
        <f>18.06</f>
        <v/>
      </c>
      <c r="P20" s="3">
        <f>ROUND(M20/O20,2)</f>
        <v/>
      </c>
      <c r="Q20" s="3">
        <f>ROUND(N20/O20,2)</f>
        <v/>
      </c>
      <c r="R20" s="3">
        <f>ROUND(0.4014017603142283,1)</f>
        <v/>
      </c>
      <c r="S20" s="2" t="inlineStr">
        <is>
          <t>Google Brand</t>
        </is>
      </c>
      <c r="T20" s="2" t="inlineStr">
        <is>
          <t>Better competitor bundle offer</t>
        </is>
      </c>
    </row>
    <row r="21">
      <c r="A21" s="4" t="inlineStr">
        <is>
          <t>Apr</t>
        </is>
      </c>
      <c r="B21" s="4" t="inlineStr">
        <is>
          <t>Google Generic Search</t>
        </is>
      </c>
      <c r="C21" s="5" t="n">
        <v>236</v>
      </c>
      <c r="D21" s="5" t="n">
        <v>100</v>
      </c>
      <c r="E21" s="5">
        <f>ROUND(86.83619851957695,1)</f>
        <v/>
      </c>
      <c r="F21" s="5">
        <f>ROUND(77.83757506918481,1)</f>
        <v/>
      </c>
      <c r="G21" s="5">
        <f>ROUND(68.5564925171191,1)</f>
        <v/>
      </c>
      <c r="H21" s="5">
        <f>ROUND(57.56391502224136,1)</f>
        <v/>
      </c>
      <c r="I21" s="5">
        <f>ROUND(57.031003001886994,1)</f>
        <v/>
      </c>
      <c r="J21" s="5">
        <f>ROUND(52.4613307067149,1)</f>
        <v/>
      </c>
      <c r="K21" s="5">
        <f>ROUND(49.63427616407548,1)</f>
        <v/>
      </c>
      <c r="L21" s="5">
        <f>ROUND(43.9778759413569,1)</f>
        <v/>
      </c>
      <c r="M21" s="5">
        <f>47559.03</f>
        <v/>
      </c>
      <c r="N21" s="5">
        <f>4771416.46</f>
        <v/>
      </c>
      <c r="O21" s="5">
        <f>27.07</f>
        <v/>
      </c>
      <c r="P21" s="5">
        <f>ROUND(M21/O21,2)</f>
        <v/>
      </c>
      <c r="Q21" s="5">
        <f>ROUND(N21/O21,2)</f>
        <v/>
      </c>
      <c r="R21" s="5">
        <f>ROUND(0.601600323682331,1)</f>
        <v/>
      </c>
      <c r="S21" s="4" t="inlineStr">
        <is>
          <t>Google Shopping</t>
        </is>
      </c>
      <c r="T21" s="4" t="inlineStr">
        <is>
          <t>Price sensitivity post-trial</t>
        </is>
      </c>
    </row>
    <row r="22">
      <c r="A22" s="2" t="inlineStr">
        <is>
          <t>Apr</t>
        </is>
      </c>
      <c r="B22" s="2" t="inlineStr">
        <is>
          <t>Meta Prospecting</t>
        </is>
      </c>
      <c r="C22" s="3" t="n">
        <v>197</v>
      </c>
      <c r="D22" s="3" t="n">
        <v>100</v>
      </c>
      <c r="E22" s="3">
        <f>ROUND(81.95370467028242,1)</f>
        <v/>
      </c>
      <c r="F22" s="3">
        <f>ROUND(73.64483830545005,1)</f>
        <v/>
      </c>
      <c r="G22" s="3">
        <f>ROUND(66.60996246723484,1)</f>
        <v/>
      </c>
      <c r="H22" s="3">
        <f>ROUND(59.44126723180152,1)</f>
        <v/>
      </c>
      <c r="I22" s="3">
        <f>ROUND(54.299735550418646,1)</f>
        <v/>
      </c>
      <c r="J22" s="3">
        <f>ROUND(52.070835224297504,1)</f>
        <v/>
      </c>
      <c r="K22" s="3">
        <f>ROUND(50.838417053169984,1)</f>
        <v/>
      </c>
      <c r="L22" s="3">
        <f>ROUND(39.942399470733385,1)</f>
        <v/>
      </c>
      <c r="M22" s="3">
        <f>38646.92</f>
        <v/>
      </c>
      <c r="N22" s="3">
        <f>3877356.19</f>
        <v/>
      </c>
      <c r="O22" s="3">
        <f>30.64</f>
        <v/>
      </c>
      <c r="P22" s="3">
        <f>ROUND(M22/O22,2)</f>
        <v/>
      </c>
      <c r="Q22" s="3">
        <f>ROUND(N22/O22,2)</f>
        <v/>
      </c>
      <c r="R22" s="3">
        <f>ROUND(0.6809340482868494,1)</f>
        <v/>
      </c>
      <c r="S22" s="2" t="inlineStr">
        <is>
          <t>Meta Retargeting</t>
        </is>
      </c>
      <c r="T22" s="2" t="inlineStr">
        <is>
          <t>Seasonal reduction (summer)</t>
        </is>
      </c>
    </row>
    <row r="23">
      <c r="A23" s="4" t="inlineStr">
        <is>
          <t>Apr</t>
        </is>
      </c>
      <c r="B23" s="4" t="inlineStr">
        <is>
          <t>Google Shopping</t>
        </is>
      </c>
      <c r="C23" s="5" t="n">
        <v>209</v>
      </c>
      <c r="D23" s="5" t="n">
        <v>100</v>
      </c>
      <c r="E23" s="5">
        <f>ROUND(89.4229122329895,1)</f>
        <v/>
      </c>
      <c r="F23" s="5">
        <f>ROUND(77.75811561985721,1)</f>
        <v/>
      </c>
      <c r="G23" s="5">
        <f>ROUND(71.07939878756633,1)</f>
        <v/>
      </c>
      <c r="H23" s="5">
        <f>ROUND(65.21889637376276,1)</f>
        <v/>
      </c>
      <c r="I23" s="5">
        <f>ROUND(58.68017285916367,1)</f>
        <v/>
      </c>
      <c r="J23" s="5">
        <f>ROUND(52.457416865708716,1)</f>
        <v/>
      </c>
      <c r="K23" s="5">
        <f>ROUND(45.41243745485725,1)</f>
        <v/>
      </c>
      <c r="L23" s="5">
        <f>ROUND(43.0754626925871,1)</f>
        <v/>
      </c>
      <c r="M23" s="5">
        <f>43466.10</f>
        <v/>
      </c>
      <c r="N23" s="5">
        <f>4359865.97</f>
        <v/>
      </c>
      <c r="O23" s="5">
        <f>23.31</f>
        <v/>
      </c>
      <c r="P23" s="5">
        <f>ROUND(M23/O23,2)</f>
        <v/>
      </c>
      <c r="Q23" s="5">
        <f>ROUND(N23/O23,2)</f>
        <v/>
      </c>
      <c r="R23" s="5">
        <f>ROUND(0.5179403240612389,1)</f>
        <v/>
      </c>
      <c r="S23" s="4" t="inlineStr">
        <is>
          <t>Google Shopping</t>
        </is>
      </c>
      <c r="T23" s="4" t="inlineStr">
        <is>
          <t>Product quality mismatch</t>
        </is>
      </c>
    </row>
    <row r="24">
      <c r="A24" s="2" t="inlineStr">
        <is>
          <t>Apr</t>
        </is>
      </c>
      <c r="B24" s="2" t="inlineStr">
        <is>
          <t>TikTok</t>
        </is>
      </c>
      <c r="C24" s="3" t="n">
        <v>198</v>
      </c>
      <c r="D24" s="3" t="n">
        <v>100</v>
      </c>
      <c r="E24" s="3">
        <f>ROUND(80.66578528631135,1)</f>
        <v/>
      </c>
      <c r="F24" s="3">
        <f>ROUND(72.27272628012317,1)</f>
        <v/>
      </c>
      <c r="G24" s="3">
        <f>ROUND(64.12208243520949,1)</f>
        <v/>
      </c>
      <c r="H24" s="3">
        <f>ROUND(66.92647467071369,1)</f>
        <v/>
      </c>
      <c r="I24" s="3">
        <f>ROUND(56.827704140386565,1)</f>
        <v/>
      </c>
      <c r="J24" s="3">
        <f>ROUND(54.29904628768907,1)</f>
        <v/>
      </c>
      <c r="K24" s="3">
        <f>ROUND(47.56297566321881,1)</f>
        <v/>
      </c>
      <c r="L24" s="3">
        <f>ROUND(42.28498465182177,1)</f>
        <v/>
      </c>
      <c r="M24" s="3">
        <f>39276.60</f>
        <v/>
      </c>
      <c r="N24" s="3">
        <f>3940503.12</f>
        <v/>
      </c>
      <c r="O24" s="3">
        <f>24.35</f>
        <v/>
      </c>
      <c r="P24" s="3">
        <f>ROUND(M24/O24,2)</f>
        <v/>
      </c>
      <c r="Q24" s="3">
        <f>ROUND(N24/O24,2)</f>
        <v/>
      </c>
      <c r="R24" s="3">
        <f>ROUND(0.5410858151366008,1)</f>
        <v/>
      </c>
      <c r="S24" s="2" t="inlineStr">
        <is>
          <t>Google Shopping</t>
        </is>
      </c>
      <c r="T24" s="2" t="inlineStr">
        <is>
          <t>Dietary preference change</t>
        </is>
      </c>
    </row>
    <row r="25">
      <c r="A25" s="4" t="inlineStr">
        <is>
          <t>Apr</t>
        </is>
      </c>
      <c r="B25" s="4" t="inlineStr">
        <is>
          <t>YouTube</t>
        </is>
      </c>
      <c r="C25" s="5" t="n">
        <v>192</v>
      </c>
      <c r="D25" s="5" t="n">
        <v>100</v>
      </c>
      <c r="E25" s="5">
        <f>ROUND(88.41888329173199,1)</f>
        <v/>
      </c>
      <c r="F25" s="5">
        <f>ROUND(73.18612044956897,1)</f>
        <v/>
      </c>
      <c r="G25" s="5">
        <f>ROUND(64.32671182423529,1)</f>
        <v/>
      </c>
      <c r="H25" s="5">
        <f>ROUND(64.0902852730335,1)</f>
        <v/>
      </c>
      <c r="I25" s="5">
        <f>ROUND(60.9751730295014,1)</f>
        <v/>
      </c>
      <c r="J25" s="5">
        <f>ROUND(57.6090391641608,1)</f>
        <v/>
      </c>
      <c r="K25" s="5">
        <f>ROUND(50.819805903556684,1)</f>
        <v/>
      </c>
      <c r="L25" s="5">
        <f>ROUND(41.52340020546596,1)</f>
        <v/>
      </c>
      <c r="M25" s="5">
        <f>38966.16</f>
        <v/>
      </c>
      <c r="N25" s="5">
        <f>3909571.46</f>
        <v/>
      </c>
      <c r="O25" s="5">
        <f>21.17</f>
        <v/>
      </c>
      <c r="P25" s="5">
        <f>ROUND(M25/O25,2)</f>
        <v/>
      </c>
      <c r="Q25" s="5">
        <f>ROUND(N25/O25,2)</f>
        <v/>
      </c>
      <c r="R25" s="5">
        <f>ROUND(0.47037516258950407,1)</f>
        <v/>
      </c>
      <c r="S25" s="4" t="inlineStr">
        <is>
          <t>Google Shopping</t>
        </is>
      </c>
      <c r="T25" s="4" t="inlineStr">
        <is>
          <t>Low engagement with emails</t>
        </is>
      </c>
    </row>
    <row r="26">
      <c r="A26" s="2" t="inlineStr">
        <is>
          <t>May</t>
        </is>
      </c>
      <c r="B26" s="2" t="inlineStr">
        <is>
          <t>Google Brand Search</t>
        </is>
      </c>
      <c r="C26" s="3" t="n">
        <v>226</v>
      </c>
      <c r="D26" s="3" t="n">
        <v>100</v>
      </c>
      <c r="E26" s="3">
        <f>ROUND(80.0077437083379,1)</f>
        <v/>
      </c>
      <c r="F26" s="3">
        <f>ROUND(76.48002775594736,1)</f>
        <v/>
      </c>
      <c r="G26" s="3">
        <f>ROUND(68.59336090780509,1)</f>
        <v/>
      </c>
      <c r="H26" s="3">
        <f>ROUND(59.495940966851364,1)</f>
        <v/>
      </c>
      <c r="I26" s="3">
        <f>ROUND(58.5159357895336,1)</f>
        <v/>
      </c>
      <c r="J26" s="3">
        <f>ROUND(59.60911353934136,1)</f>
        <v/>
      </c>
      <c r="K26" s="3">
        <f>ROUND(47.61906092408368,1)</f>
        <v/>
      </c>
      <c r="L26" s="3">
        <f>ROUND(42.619684604009734,1)</f>
        <v/>
      </c>
      <c r="M26" s="3">
        <f>45062.56</f>
        <v/>
      </c>
      <c r="N26" s="3">
        <f>4521495.43</f>
        <v/>
      </c>
      <c r="O26" s="3">
        <f>16.72</f>
        <v/>
      </c>
      <c r="P26" s="3">
        <f>ROUND(M26/O26,2)</f>
        <v/>
      </c>
      <c r="Q26" s="3">
        <f>ROUND(N26/O26,2)</f>
        <v/>
      </c>
      <c r="R26" s="3">
        <f>ROUND(0.3716566142064801,1)</f>
        <v/>
      </c>
      <c r="S26" s="2" t="inlineStr">
        <is>
          <t>Google Shopping</t>
        </is>
      </c>
      <c r="T26" s="2" t="inlineStr">
        <is>
          <t>Payment method failure</t>
        </is>
      </c>
    </row>
    <row r="27">
      <c r="A27" s="4" t="inlineStr">
        <is>
          <t>May</t>
        </is>
      </c>
      <c r="B27" s="4" t="inlineStr">
        <is>
          <t>Google Generic Search</t>
        </is>
      </c>
      <c r="C27" s="5" t="n">
        <v>195</v>
      </c>
      <c r="D27" s="5" t="n">
        <v>100</v>
      </c>
      <c r="E27" s="5">
        <f>ROUND(81.67320991841333,1)</f>
        <v/>
      </c>
      <c r="F27" s="5">
        <f>ROUND(74.52093258515356,1)</f>
        <v/>
      </c>
      <c r="G27" s="5">
        <f>ROUND(70.40625967953551,1)</f>
        <v/>
      </c>
      <c r="H27" s="5">
        <f>ROUND(63.83778641530262,1)</f>
        <v/>
      </c>
      <c r="I27" s="5">
        <f>ROUND(57.8156386965914,1)</f>
        <v/>
      </c>
      <c r="J27" s="5">
        <f>ROUND(56.36785905510901,1)</f>
        <v/>
      </c>
      <c r="K27" s="5">
        <f>ROUND(45.619877835528015,1)</f>
        <v/>
      </c>
      <c r="L27" s="5">
        <f>ROUND(43.04708859176439,1)</f>
        <v/>
      </c>
      <c r="M27" s="5">
        <f>39334.27</f>
        <v/>
      </c>
      <c r="N27" s="5">
        <f>3946154.14</f>
        <v/>
      </c>
      <c r="O27" s="5">
        <f>26.81</f>
        <v/>
      </c>
      <c r="P27" s="5">
        <f>ROUND(M27/O27,2)</f>
        <v/>
      </c>
      <c r="Q27" s="5">
        <f>ROUND(N27/O27,2)</f>
        <v/>
      </c>
      <c r="R27" s="5">
        <f>ROUND(0.5958667273465266,1)</f>
        <v/>
      </c>
      <c r="S27" s="4" t="inlineStr">
        <is>
          <t>Google Brand</t>
        </is>
      </c>
      <c r="T27" s="4" t="inlineStr">
        <is>
          <t>Shipping delays in Q4</t>
        </is>
      </c>
    </row>
    <row r="28">
      <c r="A28" s="2" t="inlineStr">
        <is>
          <t>May</t>
        </is>
      </c>
      <c r="B28" s="2" t="inlineStr">
        <is>
          <t>Meta Prospecting</t>
        </is>
      </c>
      <c r="C28" s="3" t="n">
        <v>158</v>
      </c>
      <c r="D28" s="3" t="n">
        <v>100</v>
      </c>
      <c r="E28" s="3">
        <f>ROUND(89.37033731606368,1)</f>
        <v/>
      </c>
      <c r="F28" s="3">
        <f>ROUND(79.28636122780706,1)</f>
        <v/>
      </c>
      <c r="G28" s="3">
        <f>ROUND(65.07530097637346,1)</f>
        <v/>
      </c>
      <c r="H28" s="3">
        <f>ROUND(59.409840804777964,1)</f>
        <v/>
      </c>
      <c r="I28" s="3">
        <f>ROUND(62.69973220756189,1)</f>
        <v/>
      </c>
      <c r="J28" s="3">
        <f>ROUND(55.17393154100057,1)</f>
        <v/>
      </c>
      <c r="K28" s="3">
        <f>ROUND(50.02821451686532,1)</f>
        <v/>
      </c>
      <c r="L28" s="3">
        <f>ROUND(39.46891284107385,1)</f>
        <v/>
      </c>
      <c r="M28" s="3">
        <f>32410.34</f>
        <v/>
      </c>
      <c r="N28" s="3">
        <f>3251319.69</f>
        <v/>
      </c>
      <c r="O28" s="3">
        <f>28.48</f>
        <v/>
      </c>
      <c r="P28" s="3">
        <f>ROUND(M28/O28,2)</f>
        <v/>
      </c>
      <c r="Q28" s="3">
        <f>ROUND(N28/O28,2)</f>
        <v/>
      </c>
      <c r="R28" s="3">
        <f>ROUND(0.6328223034821966,1)</f>
        <v/>
      </c>
      <c r="S28" s="2" t="inlineStr">
        <is>
          <t>Meta Retargeting</t>
        </is>
      </c>
      <c r="T28" s="2" t="inlineStr">
        <is>
          <t>Payment method failure</t>
        </is>
      </c>
    </row>
    <row r="29">
      <c r="A29" s="4" t="inlineStr">
        <is>
          <t>May</t>
        </is>
      </c>
      <c r="B29" s="4" t="inlineStr">
        <is>
          <t>Google Shopping</t>
        </is>
      </c>
      <c r="C29" s="5" t="n">
        <v>189</v>
      </c>
      <c r="D29" s="5" t="n">
        <v>100</v>
      </c>
      <c r="E29" s="5">
        <f>ROUND(88.22900779483281,1)</f>
        <v/>
      </c>
      <c r="F29" s="5">
        <f>ROUND(72.5033503603754,1)</f>
        <v/>
      </c>
      <c r="G29" s="5">
        <f>ROUND(65.8374984822087,1)</f>
        <v/>
      </c>
      <c r="H29" s="5">
        <f>ROUND(66.68885358086723,1)</f>
        <v/>
      </c>
      <c r="I29" s="5">
        <f>ROUND(59.93008874294809,1)</f>
        <v/>
      </c>
      <c r="J29" s="5">
        <f>ROUND(56.00615692753307,1)</f>
        <v/>
      </c>
      <c r="K29" s="5">
        <f>ROUND(45.6093941374769,1)</f>
        <v/>
      </c>
      <c r="L29" s="5">
        <f>ROUND(42.29099692057203,1)</f>
        <v/>
      </c>
      <c r="M29" s="5">
        <f>38543.71</f>
        <v/>
      </c>
      <c r="N29" s="5">
        <f>3866609.99</f>
        <v/>
      </c>
      <c r="O29" s="5">
        <f>22.73</f>
        <v/>
      </c>
      <c r="P29" s="5">
        <f>ROUND(M29/O29,2)</f>
        <v/>
      </c>
      <c r="Q29" s="5">
        <f>ROUND(N29/O29,2)</f>
        <v/>
      </c>
      <c r="R29" s="5">
        <f>ROUND(0.5050046031393134,1)</f>
        <v/>
      </c>
      <c r="S29" s="4" t="inlineStr">
        <is>
          <t>Google Shopping</t>
        </is>
      </c>
      <c r="T29" s="4" t="inlineStr">
        <is>
          <t>Better competitor bundle offer</t>
        </is>
      </c>
    </row>
    <row r="30">
      <c r="A30" s="2" t="inlineStr">
        <is>
          <t>May</t>
        </is>
      </c>
      <c r="B30" s="2" t="inlineStr">
        <is>
          <t>TikTok</t>
        </is>
      </c>
      <c r="C30" s="3" t="n">
        <v>212</v>
      </c>
      <c r="D30" s="3" t="n">
        <v>100</v>
      </c>
      <c r="E30" s="3">
        <f>ROUND(84.67332486179906,1)</f>
        <v/>
      </c>
      <c r="F30" s="3">
        <f>ROUND(75.97632182996969,1)</f>
        <v/>
      </c>
      <c r="G30" s="3">
        <f>ROUND(65.22540890952155,1)</f>
        <v/>
      </c>
      <c r="H30" s="3">
        <f>ROUND(66.44749871799715,1)</f>
        <v/>
      </c>
      <c r="I30" s="3">
        <f>ROUND(56.46484040259942,1)</f>
        <v/>
      </c>
      <c r="J30" s="3">
        <f>ROUND(59.772037388001586,1)</f>
        <v/>
      </c>
      <c r="K30" s="3">
        <f>ROUND(45.45977292759038,1)</f>
        <v/>
      </c>
      <c r="L30" s="3">
        <f>ROUND(39.51556472126562,1)</f>
        <v/>
      </c>
      <c r="M30" s="3">
        <f>42814.32</f>
        <v/>
      </c>
      <c r="N30" s="3">
        <f>4295240.65</f>
        <v/>
      </c>
      <c r="O30" s="3">
        <f>25.71</f>
        <v/>
      </c>
      <c r="P30" s="3">
        <f>ROUND(M30/O30,2)</f>
        <v/>
      </c>
      <c r="Q30" s="3">
        <f>ROUND(N30/O30,2)</f>
        <v/>
      </c>
      <c r="R30" s="3">
        <f>ROUND(0.571314570567922,1)</f>
        <v/>
      </c>
      <c r="S30" s="2" t="inlineStr">
        <is>
          <t>Google Shopping</t>
        </is>
      </c>
      <c r="T30" s="2" t="inlineStr">
        <is>
          <t>Dietary preference change</t>
        </is>
      </c>
    </row>
    <row r="31">
      <c r="A31" s="4" t="inlineStr">
        <is>
          <t>May</t>
        </is>
      </c>
      <c r="B31" s="4" t="inlineStr">
        <is>
          <t>YouTube</t>
        </is>
      </c>
      <c r="C31" s="5" t="n">
        <v>172</v>
      </c>
      <c r="D31" s="5" t="n">
        <v>100</v>
      </c>
      <c r="E31" s="5">
        <f>ROUND(85.58527107004385,1)</f>
        <v/>
      </c>
      <c r="F31" s="5">
        <f>ROUND(71.99364863317335,1)</f>
        <v/>
      </c>
      <c r="G31" s="5">
        <f>ROUND(71.89685089243767,1)</f>
        <v/>
      </c>
      <c r="H31" s="5">
        <f>ROUND(58.252199337611174,1)</f>
        <v/>
      </c>
      <c r="I31" s="5">
        <f>ROUND(62.46122990300097,1)</f>
        <v/>
      </c>
      <c r="J31" s="5">
        <f>ROUND(55.176669827100746,1)</f>
        <v/>
      </c>
      <c r="K31" s="5">
        <f>ROUND(49.50690779344642,1)</f>
        <v/>
      </c>
      <c r="L31" s="5">
        <f>ROUND(40.16597560458719,1)</f>
        <v/>
      </c>
      <c r="M31" s="5">
        <f>34844.64</f>
        <v/>
      </c>
      <c r="N31" s="5">
        <f>3495675.76</f>
        <v/>
      </c>
      <c r="O31" s="5">
        <f>19.04</f>
        <v/>
      </c>
      <c r="P31" s="5">
        <f>ROUND(M31/O31,2)</f>
        <v/>
      </c>
      <c r="Q31" s="5">
        <f>ROUND(N31/O31,2)</f>
        <v/>
      </c>
      <c r="R31" s="5">
        <f>ROUND(0.42319062389226053,1)</f>
        <v/>
      </c>
      <c r="S31" s="4" t="inlineStr">
        <is>
          <t>Google Shopping</t>
        </is>
      </c>
      <c r="T31" s="4" t="inlineStr">
        <is>
          <t>Shipping delays in Q4</t>
        </is>
      </c>
    </row>
    <row r="32">
      <c r="A32" s="2" t="inlineStr">
        <is>
          <t>Jun</t>
        </is>
      </c>
      <c r="B32" s="2" t="inlineStr">
        <is>
          <t>Google Brand Search</t>
        </is>
      </c>
      <c r="C32" s="3" t="n">
        <v>164</v>
      </c>
      <c r="D32" s="3" t="n">
        <v>100</v>
      </c>
      <c r="E32" s="3">
        <f>ROUND(83.68465822030089,1)</f>
        <v/>
      </c>
      <c r="F32" s="3">
        <f>ROUND(72.96981477248859,1)</f>
        <v/>
      </c>
      <c r="G32" s="3">
        <f>ROUND(65.7915541170376,1)</f>
        <v/>
      </c>
      <c r="H32" s="3">
        <f>ROUND(60.656414972875524,1)</f>
        <v/>
      </c>
      <c r="I32" s="3">
        <f>ROUND(55.13886907239504,1)</f>
        <v/>
      </c>
      <c r="J32" s="3">
        <f>ROUND(59.6502304842451,1)</f>
        <v/>
      </c>
      <c r="K32" s="3">
        <f>ROUND(48.20939804588808,1)</f>
        <v/>
      </c>
      <c r="L32" s="3">
        <f>ROUND(40.96694165744798,1)</f>
        <v/>
      </c>
      <c r="M32" s="3">
        <f>32342.21</f>
        <v/>
      </c>
      <c r="N32" s="3">
        <f>3245204.28</f>
        <v/>
      </c>
      <c r="O32" s="3">
        <f>18.52</f>
        <v/>
      </c>
      <c r="P32" s="3">
        <f>ROUND(M32/O32,2)</f>
        <v/>
      </c>
      <c r="Q32" s="3">
        <f>ROUND(N32/O32,2)</f>
        <v/>
      </c>
      <c r="R32" s="3">
        <f>ROUND(0.41154794047619286,1)</f>
        <v/>
      </c>
      <c r="S32" s="2" t="inlineStr">
        <is>
          <t>Google Brand</t>
        </is>
      </c>
      <c r="T32" s="2" t="inlineStr">
        <is>
          <t>Seasonal reduction (summer)</t>
        </is>
      </c>
    </row>
    <row r="33">
      <c r="A33" s="4" t="inlineStr">
        <is>
          <t>Jun</t>
        </is>
      </c>
      <c r="B33" s="4" t="inlineStr">
        <is>
          <t>Google Generic Search</t>
        </is>
      </c>
      <c r="C33" s="5" t="n">
        <v>203</v>
      </c>
      <c r="D33" s="5" t="n">
        <v>100</v>
      </c>
      <c r="E33" s="5">
        <f>ROUND(82.55178952126388,1)</f>
        <v/>
      </c>
      <c r="F33" s="5">
        <f>ROUND(73.05737954387799,1)</f>
        <v/>
      </c>
      <c r="G33" s="5">
        <f>ROUND(72.80957909663844,1)</f>
        <v/>
      </c>
      <c r="H33" s="5">
        <f>ROUND(58.89086915589326,1)</f>
        <v/>
      </c>
      <c r="I33" s="5">
        <f>ROUND(54.850850207736684,1)</f>
        <v/>
      </c>
      <c r="J33" s="5">
        <f>ROUND(53.6640089068718,1)</f>
        <v/>
      </c>
      <c r="K33" s="5">
        <f>ROUND(50.078809386136356,1)</f>
        <v/>
      </c>
      <c r="L33" s="5">
        <f>ROUND(44.25954685035883,1)</f>
        <v/>
      </c>
      <c r="M33" s="5">
        <f>40391.36</f>
        <v/>
      </c>
      <c r="N33" s="5">
        <f>4052655.89</f>
        <v/>
      </c>
      <c r="O33" s="5">
        <f>24.98</f>
        <v/>
      </c>
      <c r="P33" s="5">
        <f>ROUND(M33/O33,2)</f>
        <v/>
      </c>
      <c r="Q33" s="5">
        <f>ROUND(N33/O33,2)</f>
        <v/>
      </c>
      <c r="R33" s="5">
        <f>ROUND(0.5550959362525043,1)</f>
        <v/>
      </c>
      <c r="S33" s="4" t="inlineStr">
        <is>
          <t>Meta Retargeting</t>
        </is>
      </c>
      <c r="T33" s="4" t="inlineStr">
        <is>
          <t>Product quality mismatch</t>
        </is>
      </c>
    </row>
    <row r="34">
      <c r="A34" s="2" t="inlineStr">
        <is>
          <t>Jun</t>
        </is>
      </c>
      <c r="B34" s="2" t="inlineStr">
        <is>
          <t>Meta Prospecting</t>
        </is>
      </c>
      <c r="C34" s="3" t="n">
        <v>241</v>
      </c>
      <c r="D34" s="3" t="n">
        <v>100</v>
      </c>
      <c r="E34" s="3">
        <f>ROUND(82.94152412123721,1)</f>
        <v/>
      </c>
      <c r="F34" s="3">
        <f>ROUND(76.73517372510247,1)</f>
        <v/>
      </c>
      <c r="G34" s="3">
        <f>ROUND(65.99804554776956,1)</f>
        <v/>
      </c>
      <c r="H34" s="3">
        <f>ROUND(64.97361478564436,1)</f>
        <v/>
      </c>
      <c r="I34" s="3">
        <f>ROUND(62.62668242125582,1)</f>
        <v/>
      </c>
      <c r="J34" s="3">
        <f>ROUND(57.48386776209004,1)</f>
        <v/>
      </c>
      <c r="K34" s="3">
        <f>ROUND(49.41434410660788,1)</f>
        <v/>
      </c>
      <c r="L34" s="3">
        <f>ROUND(43.06812024044353,1)</f>
        <v/>
      </c>
      <c r="M34" s="3">
        <f>49157.68</f>
        <v/>
      </c>
      <c r="N34" s="3">
        <f>4932031.66</f>
        <v/>
      </c>
      <c r="O34" s="3">
        <f>27.63</f>
        <v/>
      </c>
      <c r="P34" s="3">
        <f>ROUND(M34/O34,2)</f>
        <v/>
      </c>
      <c r="Q34" s="3">
        <f>ROUND(N34/O34,2)</f>
        <v/>
      </c>
      <c r="R34" s="3">
        <f>ROUND(0.614031629376702,1)</f>
        <v/>
      </c>
      <c r="S34" s="2" t="inlineStr">
        <is>
          <t>Google Shopping</t>
        </is>
      </c>
      <c r="T34" s="2" t="inlineStr">
        <is>
          <t>Shipping delays in Q4</t>
        </is>
      </c>
    </row>
    <row r="35">
      <c r="A35" s="4" t="inlineStr">
        <is>
          <t>Jun</t>
        </is>
      </c>
      <c r="B35" s="4" t="inlineStr">
        <is>
          <t>Google Shopping</t>
        </is>
      </c>
      <c r="C35" s="5" t="n">
        <v>225</v>
      </c>
      <c r="D35" s="5" t="n">
        <v>100</v>
      </c>
      <c r="E35" s="5">
        <f>ROUND(87.19609658166937,1)</f>
        <v/>
      </c>
      <c r="F35" s="5">
        <f>ROUND(77.03587110263715,1)</f>
        <v/>
      </c>
      <c r="G35" s="5">
        <f>ROUND(64.9084009619131,1)</f>
        <v/>
      </c>
      <c r="H35" s="5">
        <f>ROUND(63.84847111144529,1)</f>
        <v/>
      </c>
      <c r="I35" s="5">
        <f>ROUND(61.521506967467815,1)</f>
        <v/>
      </c>
      <c r="J35" s="5">
        <f>ROUND(53.940072344762385,1)</f>
        <v/>
      </c>
      <c r="K35" s="5">
        <f>ROUND(45.143496137909246,1)</f>
        <v/>
      </c>
      <c r="L35" s="5">
        <f>ROUND(40.09102104034125,1)</f>
        <v/>
      </c>
      <c r="M35" s="5">
        <f>46019.17</f>
        <v/>
      </c>
      <c r="N35" s="5">
        <f>4616008.69</f>
        <v/>
      </c>
      <c r="O35" s="5">
        <f>23.76</f>
        <v/>
      </c>
      <c r="P35" s="5">
        <f>ROUND(M35/O35,2)</f>
        <v/>
      </c>
      <c r="Q35" s="5">
        <f>ROUND(N35/O35,2)</f>
        <v/>
      </c>
      <c r="R35" s="5">
        <f>ROUND(0.5279124254528795,1)</f>
        <v/>
      </c>
      <c r="S35" s="4" t="inlineStr">
        <is>
          <t>Google Shopping</t>
        </is>
      </c>
      <c r="T35" s="4" t="inlineStr">
        <is>
          <t>Better competitor bundle offer</t>
        </is>
      </c>
    </row>
    <row r="36">
      <c r="A36" s="2" t="inlineStr">
        <is>
          <t>Jun</t>
        </is>
      </c>
      <c r="B36" s="2" t="inlineStr">
        <is>
          <t>TikTok</t>
        </is>
      </c>
      <c r="C36" s="3" t="n">
        <v>197</v>
      </c>
      <c r="D36" s="3" t="n">
        <v>100</v>
      </c>
      <c r="E36" s="3">
        <f>ROUND(84.2423466239704,1)</f>
        <v/>
      </c>
      <c r="F36" s="3">
        <f>ROUND(71.74105404448264,1)</f>
        <v/>
      </c>
      <c r="G36" s="3">
        <f>ROUND(69.47723302490391,1)</f>
        <v/>
      </c>
      <c r="H36" s="3">
        <f>ROUND(61.03879154356221,1)</f>
        <v/>
      </c>
      <c r="I36" s="3">
        <f>ROUND(53.72262991041973,1)</f>
        <v/>
      </c>
      <c r="J36" s="3">
        <f>ROUND(55.03421973046691,1)</f>
        <v/>
      </c>
      <c r="K36" s="3">
        <f>ROUND(45.591506847827574,1)</f>
        <v/>
      </c>
      <c r="L36" s="3">
        <f>ROUND(44.65443018784221,1)</f>
        <v/>
      </c>
      <c r="M36" s="3">
        <f>39025.69</f>
        <v/>
      </c>
      <c r="N36" s="3">
        <f>3915447.60</f>
        <v/>
      </c>
      <c r="O36" s="3">
        <f>25.80</f>
        <v/>
      </c>
      <c r="P36" s="3">
        <f>ROUND(M36/O36,2)</f>
        <v/>
      </c>
      <c r="Q36" s="3">
        <f>ROUND(N36/O36,2)</f>
        <v/>
      </c>
      <c r="R36" s="3">
        <f>ROUND(0.5732783169083714,1)</f>
        <v/>
      </c>
      <c r="S36" s="2" t="inlineStr">
        <is>
          <t>Google Shopping</t>
        </is>
      </c>
      <c r="T36" s="2" t="inlineStr">
        <is>
          <t>Price sensitivity post-trial</t>
        </is>
      </c>
    </row>
    <row r="37">
      <c r="A37" s="4" t="inlineStr">
        <is>
          <t>Jun</t>
        </is>
      </c>
      <c r="B37" s="4" t="inlineStr">
        <is>
          <t>YouTube</t>
        </is>
      </c>
      <c r="C37" s="5" t="n">
        <v>222</v>
      </c>
      <c r="D37" s="5" t="n">
        <v>100</v>
      </c>
      <c r="E37" s="5">
        <f>ROUND(83.17373059616375,1)</f>
        <v/>
      </c>
      <c r="F37" s="5">
        <f>ROUND(73.37042992847304,1)</f>
        <v/>
      </c>
      <c r="G37" s="5">
        <f>ROUND(68.73782782545824,1)</f>
        <v/>
      </c>
      <c r="H37" s="5">
        <f>ROUND(63.918088677182325,1)</f>
        <v/>
      </c>
      <c r="I37" s="5">
        <f>ROUND(57.09597981551341,1)</f>
        <v/>
      </c>
      <c r="J37" s="5">
        <f>ROUND(55.959512754525214,1)</f>
        <v/>
      </c>
      <c r="K37" s="5">
        <f>ROUND(48.31657596820689,1)</f>
        <v/>
      </c>
      <c r="L37" s="5">
        <f>ROUND(41.51155716012182,1)</f>
        <v/>
      </c>
      <c r="M37" s="5">
        <f>44584.98</f>
        <v/>
      </c>
      <c r="N37" s="5">
        <f>4473061.79</f>
        <v/>
      </c>
      <c r="O37" s="5">
        <f>19.45</f>
        <v/>
      </c>
      <c r="P37" s="5">
        <f>ROUND(M37/O37,2)</f>
        <v/>
      </c>
      <c r="Q37" s="5">
        <f>ROUND(N37/O37,2)</f>
        <v/>
      </c>
      <c r="R37" s="5">
        <f>ROUND(0.43228930206839417,1)</f>
        <v/>
      </c>
      <c r="S37" s="4" t="inlineStr">
        <is>
          <t>Meta Retargeting</t>
        </is>
      </c>
      <c r="T37" s="4" t="inlineStr">
        <is>
          <t>Seasonal reduction (summer)</t>
        </is>
      </c>
    </row>
    <row r="38">
      <c r="A38" s="2" t="inlineStr">
        <is>
          <t>Jul</t>
        </is>
      </c>
      <c r="B38" s="2" t="inlineStr">
        <is>
          <t>Google Brand Search</t>
        </is>
      </c>
      <c r="C38" s="3" t="n">
        <v>217</v>
      </c>
      <c r="D38" s="3" t="n">
        <v>100</v>
      </c>
      <c r="E38" s="3">
        <f>ROUND(82.01202713220215,1)</f>
        <v/>
      </c>
      <c r="F38" s="3">
        <f>ROUND(77.02027160572885,1)</f>
        <v/>
      </c>
      <c r="G38" s="3">
        <f>ROUND(71.97996523247745,1)</f>
        <v/>
      </c>
      <c r="H38" s="3">
        <f>ROUND(63.04947178646333,1)</f>
        <v/>
      </c>
      <c r="I38" s="3">
        <f>ROUND(53.73514335946179,1)</f>
        <v/>
      </c>
      <c r="J38" s="3">
        <f>ROUND(56.96823743624543,1)</f>
        <v/>
      </c>
      <c r="K38" s="3">
        <f>ROUND(46.348372051271504,1)</f>
        <v/>
      </c>
      <c r="L38" s="3">
        <f>ROUND(43.51248598060409,1)</f>
        <v/>
      </c>
      <c r="M38" s="3">
        <f>43727.37</f>
        <v/>
      </c>
      <c r="N38" s="3">
        <f>4387074.39</f>
        <v/>
      </c>
      <c r="O38" s="3">
        <f>19.00</f>
        <v/>
      </c>
      <c r="P38" s="3">
        <f>ROUND(M38/O38,2)</f>
        <v/>
      </c>
      <c r="Q38" s="3">
        <f>ROUND(N38/O38,2)</f>
        <v/>
      </c>
      <c r="R38" s="3">
        <f>ROUND(0.42218227380588946,1)</f>
        <v/>
      </c>
      <c r="S38" s="2" t="inlineStr">
        <is>
          <t>Meta Retargeting</t>
        </is>
      </c>
      <c r="T38" s="2" t="inlineStr">
        <is>
          <t>Shipping delays in Q4</t>
        </is>
      </c>
    </row>
    <row r="39">
      <c r="A39" s="4" t="inlineStr">
        <is>
          <t>Jul</t>
        </is>
      </c>
      <c r="B39" s="4" t="inlineStr">
        <is>
          <t>Google Generic Search</t>
        </is>
      </c>
      <c r="C39" s="5" t="n">
        <v>163</v>
      </c>
      <c r="D39" s="5" t="n">
        <v>100</v>
      </c>
      <c r="E39" s="5">
        <f>ROUND(88.73839884186395,1)</f>
        <v/>
      </c>
      <c r="F39" s="5">
        <f>ROUND(72.08534006095594,1)</f>
        <v/>
      </c>
      <c r="G39" s="5">
        <f>ROUND(71.1774667797266,1)</f>
        <v/>
      </c>
      <c r="H39" s="5">
        <f>ROUND(63.42827941805864,1)</f>
        <v/>
      </c>
      <c r="I39" s="5">
        <f>ROUND(61.383557147959486,1)</f>
        <v/>
      </c>
      <c r="J39" s="5">
        <f>ROUND(59.55476036752127,1)</f>
        <v/>
      </c>
      <c r="K39" s="5">
        <f>ROUND(48.1671585278676,1)</f>
        <v/>
      </c>
      <c r="L39" s="5">
        <f>ROUND(42.480987954071516,1)</f>
        <v/>
      </c>
      <c r="M39" s="5">
        <f>33507.24</f>
        <v/>
      </c>
      <c r="N39" s="5">
        <f>3361741.05</f>
        <v/>
      </c>
      <c r="O39" s="5">
        <f>24.40</f>
        <v/>
      </c>
      <c r="P39" s="5">
        <f>ROUND(M39/O39,2)</f>
        <v/>
      </c>
      <c r="Q39" s="5">
        <f>ROUND(N39/O39,2)</f>
        <v/>
      </c>
      <c r="R39" s="5">
        <f>ROUND(0.5421360660454764,1)</f>
        <v/>
      </c>
      <c r="S39" s="4" t="inlineStr">
        <is>
          <t>Google Brand</t>
        </is>
      </c>
      <c r="T39" s="4" t="inlineStr">
        <is>
          <t>Low engagement with emails</t>
        </is>
      </c>
    </row>
    <row r="40">
      <c r="A40" s="2" t="inlineStr">
        <is>
          <t>Jul</t>
        </is>
      </c>
      <c r="B40" s="2" t="inlineStr">
        <is>
          <t>Meta Prospecting</t>
        </is>
      </c>
      <c r="C40" s="3" t="n">
        <v>232</v>
      </c>
      <c r="D40" s="3" t="n">
        <v>100</v>
      </c>
      <c r="E40" s="3">
        <f>ROUND(82.15697353018675,1)</f>
        <v/>
      </c>
      <c r="F40" s="3">
        <f>ROUND(73.20005311919421,1)</f>
        <v/>
      </c>
      <c r="G40" s="3">
        <f>ROUND(65.6201680532137,1)</f>
        <v/>
      </c>
      <c r="H40" s="3">
        <f>ROUND(64.24830452124088,1)</f>
        <v/>
      </c>
      <c r="I40" s="3">
        <f>ROUND(58.08490634271358,1)</f>
        <v/>
      </c>
      <c r="J40" s="3">
        <f>ROUND(53.67771368420643,1)</f>
        <v/>
      </c>
      <c r="K40" s="3">
        <f>ROUND(47.24671430600465,1)</f>
        <v/>
      </c>
      <c r="L40" s="3">
        <f>ROUND(43.92309644463451,1)</f>
        <v/>
      </c>
      <c r="M40" s="3">
        <f>46281.61</f>
        <v/>
      </c>
      <c r="N40" s="3">
        <f>4643282.72</f>
        <v/>
      </c>
      <c r="O40" s="3">
        <f>28.90</f>
        <v/>
      </c>
      <c r="P40" s="3">
        <f>ROUND(M40/O40,2)</f>
        <v/>
      </c>
      <c r="Q40" s="3">
        <f>ROUND(N40/O40,2)</f>
        <v/>
      </c>
      <c r="R40" s="3">
        <f>ROUND(0.6421543672797576,1)</f>
        <v/>
      </c>
      <c r="S40" s="2" t="inlineStr">
        <is>
          <t>Google Shopping</t>
        </is>
      </c>
      <c r="T40" s="2" t="inlineStr">
        <is>
          <t>Shipping delays in Q4</t>
        </is>
      </c>
    </row>
    <row r="41">
      <c r="A41" s="4" t="inlineStr">
        <is>
          <t>Jul</t>
        </is>
      </c>
      <c r="B41" s="4" t="inlineStr">
        <is>
          <t>Google Shopping</t>
        </is>
      </c>
      <c r="C41" s="5" t="n">
        <v>206</v>
      </c>
      <c r="D41" s="5" t="n">
        <v>100</v>
      </c>
      <c r="E41" s="5">
        <f>ROUND(88.53156767576468,1)</f>
        <v/>
      </c>
      <c r="F41" s="5">
        <f>ROUND(73.91143100828309,1)</f>
        <v/>
      </c>
      <c r="G41" s="5">
        <f>ROUND(67.98899049334834,1)</f>
        <v/>
      </c>
      <c r="H41" s="5">
        <f>ROUND(58.256625782810794,1)</f>
        <v/>
      </c>
      <c r="I41" s="5">
        <f>ROUND(54.95700742499714,1)</f>
        <v/>
      </c>
      <c r="J41" s="5">
        <f>ROUND(53.37706494053718,1)</f>
        <v/>
      </c>
      <c r="K41" s="5">
        <f>ROUND(46.36009322322515,1)</f>
        <v/>
      </c>
      <c r="L41" s="5">
        <f>ROUND(43.332424907752824,1)</f>
        <v/>
      </c>
      <c r="M41" s="5">
        <f>41125.95</f>
        <v/>
      </c>
      <c r="N41" s="5">
        <f>4125857.47</f>
        <v/>
      </c>
      <c r="O41" s="5">
        <f>21.74</f>
        <v/>
      </c>
      <c r="P41" s="5">
        <f>ROUND(M41/O41,2)</f>
        <v/>
      </c>
      <c r="Q41" s="5">
        <f>ROUND(N41/O41,2)</f>
        <v/>
      </c>
      <c r="R41" s="5">
        <f>ROUND(0.483018970676305,1)</f>
        <v/>
      </c>
      <c r="S41" s="4" t="inlineStr">
        <is>
          <t>Meta Retargeting</t>
        </is>
      </c>
      <c r="T41" s="4" t="inlineStr">
        <is>
          <t>Lifestyle change (travel/relocation)</t>
        </is>
      </c>
    </row>
    <row r="42">
      <c r="A42" s="2" t="inlineStr">
        <is>
          <t>Jul</t>
        </is>
      </c>
      <c r="B42" s="2" t="inlineStr">
        <is>
          <t>TikTok</t>
        </is>
      </c>
      <c r="C42" s="3" t="n">
        <v>210</v>
      </c>
      <c r="D42" s="3" t="n">
        <v>100</v>
      </c>
      <c r="E42" s="3">
        <f>ROUND(81.17080509167998,1)</f>
        <v/>
      </c>
      <c r="F42" s="3">
        <f>ROUND(76.13497023143674,1)</f>
        <v/>
      </c>
      <c r="G42" s="3">
        <f>ROUND(69.87430707212316,1)</f>
        <v/>
      </c>
      <c r="H42" s="3">
        <f>ROUND(57.936192503924154,1)</f>
        <v/>
      </c>
      <c r="I42" s="3">
        <f>ROUND(59.888943142496,1)</f>
        <v/>
      </c>
      <c r="J42" s="3">
        <f>ROUND(51.408917983378416,1)</f>
        <v/>
      </c>
      <c r="K42" s="3">
        <f>ROUND(49.53331661440128,1)</f>
        <v/>
      </c>
      <c r="L42" s="3">
        <f>ROUND(41.17097102621926,1)</f>
        <v/>
      </c>
      <c r="M42" s="3">
        <f>42052.99</f>
        <v/>
      </c>
      <c r="N42" s="3">
        <f>4218729.01</f>
        <v/>
      </c>
      <c r="O42" s="3">
        <f>24.83</f>
        <v/>
      </c>
      <c r="P42" s="3">
        <f>ROUND(M42/O42,2)</f>
        <v/>
      </c>
      <c r="Q42" s="3">
        <f>ROUND(N42/O42,2)</f>
        <v/>
      </c>
      <c r="R42" s="3">
        <f>ROUND(0.5518352570367692,1)</f>
        <v/>
      </c>
      <c r="S42" s="2" t="inlineStr">
        <is>
          <t>Google Brand</t>
        </is>
      </c>
      <c r="T42" s="2" t="inlineStr">
        <is>
          <t>Seasonal reduction (summer)</t>
        </is>
      </c>
    </row>
    <row r="43">
      <c r="A43" s="4" t="inlineStr">
        <is>
          <t>Jul</t>
        </is>
      </c>
      <c r="B43" s="4" t="inlineStr">
        <is>
          <t>YouTube</t>
        </is>
      </c>
      <c r="C43" s="5" t="n">
        <v>196</v>
      </c>
      <c r="D43" s="5" t="n">
        <v>100</v>
      </c>
      <c r="E43" s="5">
        <f>ROUND(87.40500987138705,1)</f>
        <v/>
      </c>
      <c r="F43" s="5">
        <f>ROUND(79.36897001799517,1)</f>
        <v/>
      </c>
      <c r="G43" s="5">
        <f>ROUND(69.16742256448758,1)</f>
        <v/>
      </c>
      <c r="H43" s="5">
        <f>ROUND(63.138383873471355,1)</f>
        <v/>
      </c>
      <c r="I43" s="5">
        <f>ROUND(62.41235905470914,1)</f>
        <v/>
      </c>
      <c r="J43" s="5">
        <f>ROUND(59.7850039100274,1)</f>
        <v/>
      </c>
      <c r="K43" s="5">
        <f>ROUND(47.10929109416575,1)</f>
        <v/>
      </c>
      <c r="L43" s="5">
        <f>ROUND(42.01219820144244,1)</f>
        <v/>
      </c>
      <c r="M43" s="5">
        <f>40703.61</f>
        <v/>
      </c>
      <c r="N43" s="5">
        <f>4083494.27</f>
        <v/>
      </c>
      <c r="O43" s="5">
        <f>22.02</f>
        <v/>
      </c>
      <c r="P43" s="5">
        <f>ROUND(M43/O43,2)</f>
        <v/>
      </c>
      <c r="Q43" s="5">
        <f>ROUND(N43/O43,2)</f>
        <v/>
      </c>
      <c r="R43" s="5">
        <f>ROUND(0.4894403898773315,1)</f>
        <v/>
      </c>
      <c r="S43" s="4" t="inlineStr">
        <is>
          <t>Google Brand</t>
        </is>
      </c>
      <c r="T43" s="4" t="inlineStr">
        <is>
          <t>Price sensitivity post-trial</t>
        </is>
      </c>
    </row>
    <row r="44">
      <c r="A44" s="2" t="inlineStr">
        <is>
          <t>Aug</t>
        </is>
      </c>
      <c r="B44" s="2" t="inlineStr">
        <is>
          <t>Google Brand Search</t>
        </is>
      </c>
      <c r="C44" s="3" t="n">
        <v>235</v>
      </c>
      <c r="D44" s="3" t="n">
        <v>100</v>
      </c>
      <c r="E44" s="3">
        <f>ROUND(85.36039007728164,1)</f>
        <v/>
      </c>
      <c r="F44" s="3">
        <f>ROUND(72.4375973746634,1)</f>
        <v/>
      </c>
      <c r="G44" s="3">
        <f>ROUND(66.90083004505317,1)</f>
        <v/>
      </c>
      <c r="H44" s="3">
        <f>ROUND(61.355998714909596,1)</f>
        <v/>
      </c>
      <c r="I44" s="3">
        <f>ROUND(62.55503759229908,1)</f>
        <v/>
      </c>
      <c r="J44" s="3">
        <f>ROUND(52.29651405108246,1)</f>
        <v/>
      </c>
      <c r="K44" s="3">
        <f>ROUND(49.918575160244934,1)</f>
        <v/>
      </c>
      <c r="L44" s="3">
        <f>ROUND(39.984112511879964,1)</f>
        <v/>
      </c>
      <c r="M44" s="3">
        <f>47440.49</f>
        <v/>
      </c>
      <c r="N44" s="3">
        <f>4759086.77</f>
        <v/>
      </c>
      <c r="O44" s="3">
        <f>18.56</f>
        <v/>
      </c>
      <c r="P44" s="3">
        <f>ROUND(M44/O44,2)</f>
        <v/>
      </c>
      <c r="Q44" s="3">
        <f>ROUND(N44/O44,2)</f>
        <v/>
      </c>
      <c r="R44" s="3">
        <f>ROUND(0.41244174491121394,1)</f>
        <v/>
      </c>
      <c r="S44" s="2" t="inlineStr">
        <is>
          <t>Google Shopping</t>
        </is>
      </c>
      <c r="T44" s="2" t="inlineStr">
        <is>
          <t>Low engagement with emails</t>
        </is>
      </c>
    </row>
    <row r="45">
      <c r="A45" s="4" t="inlineStr">
        <is>
          <t>Aug</t>
        </is>
      </c>
      <c r="B45" s="4" t="inlineStr">
        <is>
          <t>Google Generic Search</t>
        </is>
      </c>
      <c r="C45" s="5" t="n">
        <v>154</v>
      </c>
      <c r="D45" s="5" t="n">
        <v>100</v>
      </c>
      <c r="E45" s="5">
        <f>ROUND(85.12323890709263,1)</f>
        <v/>
      </c>
      <c r="F45" s="5">
        <f>ROUND(76.619273892513,1)</f>
        <v/>
      </c>
      <c r="G45" s="5">
        <f>ROUND(72.40491902436906,1)</f>
        <v/>
      </c>
      <c r="H45" s="5">
        <f>ROUND(62.911022139809745,1)</f>
        <v/>
      </c>
      <c r="I45" s="5">
        <f>ROUND(57.12261541567088,1)</f>
        <v/>
      </c>
      <c r="J45" s="5">
        <f>ROUND(58.301297857483725,1)</f>
        <v/>
      </c>
      <c r="K45" s="5">
        <f>ROUND(47.36610290121326,1)</f>
        <v/>
      </c>
      <c r="L45" s="5">
        <f>ROUND(40.2415455687081,1)</f>
        <v/>
      </c>
      <c r="M45" s="5">
        <f>31474.75</f>
        <v/>
      </c>
      <c r="N45" s="5">
        <f>3157586.30</f>
        <v/>
      </c>
      <c r="O45" s="5">
        <f>26.66</f>
        <v/>
      </c>
      <c r="P45" s="5">
        <f>ROUND(M45/O45,2)</f>
        <v/>
      </c>
      <c r="Q45" s="5">
        <f>ROUND(N45/O45,2)</f>
        <v/>
      </c>
      <c r="R45" s="5">
        <f>ROUND(0.5923410794795985,1)</f>
        <v/>
      </c>
      <c r="S45" s="4" t="inlineStr">
        <is>
          <t>Meta Retargeting</t>
        </is>
      </c>
      <c r="T45" s="4" t="inlineStr">
        <is>
          <t>Competitive offer redemption</t>
        </is>
      </c>
    </row>
    <row r="46">
      <c r="A46" s="2" t="inlineStr">
        <is>
          <t>Aug</t>
        </is>
      </c>
      <c r="B46" s="2" t="inlineStr">
        <is>
          <t>Meta Prospecting</t>
        </is>
      </c>
      <c r="C46" s="3" t="n">
        <v>183</v>
      </c>
      <c r="D46" s="3" t="n">
        <v>100</v>
      </c>
      <c r="E46" s="3">
        <f>ROUND(85.25665648681533,1)</f>
        <v/>
      </c>
      <c r="F46" s="3">
        <f>ROUND(78.63067073704353,1)</f>
        <v/>
      </c>
      <c r="G46" s="3">
        <f>ROUND(70.24348108366708,1)</f>
        <v/>
      </c>
      <c r="H46" s="3">
        <f>ROUND(64.52447653260239,1)</f>
        <v/>
      </c>
      <c r="I46" s="3">
        <f>ROUND(54.86263241163666,1)</f>
        <v/>
      </c>
      <c r="J46" s="3">
        <f>ROUND(55.231574669780564,1)</f>
        <v/>
      </c>
      <c r="K46" s="3">
        <f>ROUND(49.446535798527876,1)</f>
        <v/>
      </c>
      <c r="L46" s="3">
        <f>ROUND(39.38608224118441,1)</f>
        <v/>
      </c>
      <c r="M46" s="3">
        <f>37347.20</f>
        <v/>
      </c>
      <c r="N46" s="3">
        <f>3746583.73</f>
        <v/>
      </c>
      <c r="O46" s="3">
        <f>26.82</f>
        <v/>
      </c>
      <c r="P46" s="3">
        <f>ROUND(M46/O46,2)</f>
        <v/>
      </c>
      <c r="Q46" s="3">
        <f>ROUND(N46/O46,2)</f>
        <v/>
      </c>
      <c r="R46" s="3">
        <f>ROUND(0.5959932042730169,1)</f>
        <v/>
      </c>
      <c r="S46" s="2" t="inlineStr">
        <is>
          <t>Google Shopping</t>
        </is>
      </c>
      <c r="T46" s="2" t="inlineStr">
        <is>
          <t>Competitive offer redemption</t>
        </is>
      </c>
    </row>
    <row r="47">
      <c r="A47" s="4" t="inlineStr">
        <is>
          <t>Aug</t>
        </is>
      </c>
      <c r="B47" s="4" t="inlineStr">
        <is>
          <t>Google Shopping</t>
        </is>
      </c>
      <c r="C47" s="5" t="n">
        <v>174</v>
      </c>
      <c r="D47" s="5" t="n">
        <v>100</v>
      </c>
      <c r="E47" s="5">
        <f>ROUND(87.13727841341468,1)</f>
        <v/>
      </c>
      <c r="F47" s="5">
        <f>ROUND(71.1352283410948,1)</f>
        <v/>
      </c>
      <c r="G47" s="5">
        <f>ROUND(64.61983797671907,1)</f>
        <v/>
      </c>
      <c r="H47" s="5">
        <f>ROUND(57.90741402149894,1)</f>
        <v/>
      </c>
      <c r="I47" s="5">
        <f>ROUND(56.627508936859606,1)</f>
        <v/>
      </c>
      <c r="J47" s="5">
        <f>ROUND(51.66926890506829,1)</f>
        <v/>
      </c>
      <c r="K47" s="5">
        <f>ROUND(50.13593470338879,1)</f>
        <v/>
      </c>
      <c r="L47" s="5">
        <f>ROUND(39.184357621794184,1)</f>
        <v/>
      </c>
      <c r="M47" s="5">
        <f>34250.56</f>
        <v/>
      </c>
      <c r="N47" s="5">
        <f>3436094.99</f>
        <v/>
      </c>
      <c r="O47" s="5">
        <f>21.08</f>
        <v/>
      </c>
      <c r="P47" s="5">
        <f>ROUND(M47/O47,2)</f>
        <v/>
      </c>
      <c r="Q47" s="5">
        <f>ROUND(N47/O47,2)</f>
        <v/>
      </c>
      <c r="R47" s="5">
        <f>ROUND(0.46841639526017614,1)</f>
        <v/>
      </c>
      <c r="S47" s="4" t="inlineStr">
        <is>
          <t>Google Brand</t>
        </is>
      </c>
      <c r="T47" s="4" t="inlineStr">
        <is>
          <t>Shipping delays in Q4</t>
        </is>
      </c>
    </row>
    <row r="48">
      <c r="A48" s="2" t="inlineStr">
        <is>
          <t>Aug</t>
        </is>
      </c>
      <c r="B48" s="2" t="inlineStr">
        <is>
          <t>TikTok</t>
        </is>
      </c>
      <c r="C48" s="3" t="n">
        <v>151</v>
      </c>
      <c r="D48" s="3" t="n">
        <v>100</v>
      </c>
      <c r="E48" s="3">
        <f>ROUND(80.37430737533346,1)</f>
        <v/>
      </c>
      <c r="F48" s="3">
        <f>ROUND(71.46185071849303,1)</f>
        <v/>
      </c>
      <c r="G48" s="3">
        <f>ROUND(67.17211393517147,1)</f>
        <v/>
      </c>
      <c r="H48" s="3">
        <f>ROUND(66.30708852777923,1)</f>
        <v/>
      </c>
      <c r="I48" s="3">
        <f>ROUND(53.54051930255734,1)</f>
        <v/>
      </c>
      <c r="J48" s="3">
        <f>ROUND(56.93143195124282,1)</f>
        <v/>
      </c>
      <c r="K48" s="3">
        <f>ROUND(49.16195393808024,1)</f>
        <v/>
      </c>
      <c r="L48" s="3">
        <f>ROUND(44.79481554841731,1)</f>
        <v/>
      </c>
      <c r="M48" s="3">
        <f>29820.26</f>
        <v/>
      </c>
      <c r="N48" s="3">
        <f>2992278.56</f>
        <v/>
      </c>
      <c r="O48" s="3">
        <f>24.17</f>
        <v/>
      </c>
      <c r="P48" s="3">
        <f>ROUND(M48/O48,2)</f>
        <v/>
      </c>
      <c r="Q48" s="3">
        <f>ROUND(N48/O48,2)</f>
        <v/>
      </c>
      <c r="R48" s="3">
        <f>ROUND(0.5370850666259313,1)</f>
        <v/>
      </c>
      <c r="S48" s="2" t="inlineStr">
        <is>
          <t>Google Brand</t>
        </is>
      </c>
      <c r="T48" s="2" t="inlineStr">
        <is>
          <t>Seasonal reduction (summer)</t>
        </is>
      </c>
    </row>
    <row r="49">
      <c r="A49" s="4" t="inlineStr">
        <is>
          <t>Aug</t>
        </is>
      </c>
      <c r="B49" s="4" t="inlineStr">
        <is>
          <t>YouTube</t>
        </is>
      </c>
      <c r="C49" s="5" t="n">
        <v>172</v>
      </c>
      <c r="D49" s="5" t="n">
        <v>100</v>
      </c>
      <c r="E49" s="5">
        <f>ROUND(87.12037615211514,1)</f>
        <v/>
      </c>
      <c r="F49" s="5">
        <f>ROUND(70.01514977713641,1)</f>
        <v/>
      </c>
      <c r="G49" s="5">
        <f>ROUND(69.50213884623246,1)</f>
        <v/>
      </c>
      <c r="H49" s="5">
        <f>ROUND(61.65774115390844,1)</f>
        <v/>
      </c>
      <c r="I49" s="5">
        <f>ROUND(61.800319377657964,1)</f>
        <v/>
      </c>
      <c r="J49" s="5">
        <f>ROUND(57.245235933004,1)</f>
        <v/>
      </c>
      <c r="K49" s="5">
        <f>ROUND(45.9031146512163,1)</f>
        <v/>
      </c>
      <c r="L49" s="5">
        <f>ROUND(43.12831807613597,1)</f>
        <v/>
      </c>
      <c r="M49" s="5">
        <f>34837.41</f>
        <v/>
      </c>
      <c r="N49" s="5">
        <f>3495062.73</f>
        <v/>
      </c>
      <c r="O49" s="5">
        <f>20.90</f>
        <v/>
      </c>
      <c r="P49" s="5">
        <f>ROUND(M49/O49,2)</f>
        <v/>
      </c>
      <c r="Q49" s="5">
        <f>ROUND(N49/O49,2)</f>
        <v/>
      </c>
      <c r="R49" s="5">
        <f>ROUND(0.46440461016493956,1)</f>
        <v/>
      </c>
      <c r="S49" s="4" t="inlineStr">
        <is>
          <t>Google Shopping</t>
        </is>
      </c>
      <c r="T49" s="4" t="inlineStr">
        <is>
          <t>Better competitor bundle offer</t>
        </is>
      </c>
    </row>
    <row r="50">
      <c r="A50" s="2" t="inlineStr">
        <is>
          <t>Sep</t>
        </is>
      </c>
      <c r="B50" s="2" t="inlineStr">
        <is>
          <t>Google Brand Search</t>
        </is>
      </c>
      <c r="C50" s="3" t="n">
        <v>183</v>
      </c>
      <c r="D50" s="3" t="n">
        <v>100</v>
      </c>
      <c r="E50" s="3">
        <f>ROUND(82.81659472029281,1)</f>
        <v/>
      </c>
      <c r="F50" s="3">
        <f>ROUND(71.21484429160535,1)</f>
        <v/>
      </c>
      <c r="G50" s="3">
        <f>ROUND(65.63653271831853,1)</f>
        <v/>
      </c>
      <c r="H50" s="3">
        <f>ROUND(65.7837398643409,1)</f>
        <v/>
      </c>
      <c r="I50" s="3">
        <f>ROUND(53.09217828065064,1)</f>
        <v/>
      </c>
      <c r="J50" s="3">
        <f>ROUND(58.65794872356188,1)</f>
        <v/>
      </c>
      <c r="K50" s="3">
        <f>ROUND(47.90462692420872,1)</f>
        <v/>
      </c>
      <c r="L50" s="3">
        <f>ROUND(43.6992807399414,1)</f>
        <v/>
      </c>
      <c r="M50" s="3">
        <f>36114.09</f>
        <v/>
      </c>
      <c r="N50" s="3">
        <f>3623783.00</f>
        <v/>
      </c>
      <c r="O50" s="3">
        <f>17.07</f>
        <v/>
      </c>
      <c r="P50" s="3">
        <f>ROUND(M50/O50,2)</f>
        <v/>
      </c>
      <c r="Q50" s="3">
        <f>ROUND(N50/O50,2)</f>
        <v/>
      </c>
      <c r="R50" s="3">
        <f>ROUND(0.37927692325535334,1)</f>
        <v/>
      </c>
      <c r="S50" s="2" t="inlineStr">
        <is>
          <t>Google Shopping</t>
        </is>
      </c>
      <c r="T50" s="2" t="inlineStr">
        <is>
          <t>Price sensitivity post-trial</t>
        </is>
      </c>
    </row>
    <row r="51">
      <c r="A51" s="4" t="inlineStr">
        <is>
          <t>Sep</t>
        </is>
      </c>
      <c r="B51" s="4" t="inlineStr">
        <is>
          <t>Google Generic Search</t>
        </is>
      </c>
      <c r="C51" s="5" t="n">
        <v>237</v>
      </c>
      <c r="D51" s="5" t="n">
        <v>100</v>
      </c>
      <c r="E51" s="5">
        <f>ROUND(87.18349275110218,1)</f>
        <v/>
      </c>
      <c r="F51" s="5">
        <f>ROUND(71.47111845266997,1)</f>
        <v/>
      </c>
      <c r="G51" s="5">
        <f>ROUND(67.26897346007902,1)</f>
        <v/>
      </c>
      <c r="H51" s="5">
        <f>ROUND(60.02157835936574,1)</f>
        <v/>
      </c>
      <c r="I51" s="5">
        <f>ROUND(56.64166939082759,1)</f>
        <v/>
      </c>
      <c r="J51" s="5">
        <f>ROUND(52.47530967216538,1)</f>
        <v/>
      </c>
      <c r="K51" s="5">
        <f>ROUND(49.21793618147121,1)</f>
        <v/>
      </c>
      <c r="L51" s="5">
        <f>ROUND(42.13348889139598,1)</f>
        <v/>
      </c>
      <c r="M51" s="5">
        <f>47201.89</f>
        <v/>
      </c>
      <c r="N51" s="5">
        <f>4735527.69</f>
        <v/>
      </c>
      <c r="O51" s="5">
        <f>24.04</f>
        <v/>
      </c>
      <c r="P51" s="5">
        <f>ROUND(M51/O51,2)</f>
        <v/>
      </c>
      <c r="Q51" s="5">
        <f>ROUND(N51/O51,2)</f>
        <v/>
      </c>
      <c r="R51" s="5">
        <f>ROUND(0.5341531994826336,1)</f>
        <v/>
      </c>
      <c r="S51" s="4" t="inlineStr">
        <is>
          <t>Meta Retargeting</t>
        </is>
      </c>
      <c r="T51" s="4" t="inlineStr">
        <is>
          <t>Price sensitivity post-trial</t>
        </is>
      </c>
    </row>
    <row r="52">
      <c r="A52" s="2" t="inlineStr">
        <is>
          <t>Sep</t>
        </is>
      </c>
      <c r="B52" s="2" t="inlineStr">
        <is>
          <t>Meta Prospecting</t>
        </is>
      </c>
      <c r="C52" s="3" t="n">
        <v>178</v>
      </c>
      <c r="D52" s="3" t="n">
        <v>100</v>
      </c>
      <c r="E52" s="3">
        <f>ROUND(87.71396435508491,1)</f>
        <v/>
      </c>
      <c r="F52" s="3">
        <f>ROUND(75.57821560003852,1)</f>
        <v/>
      </c>
      <c r="G52" s="3">
        <f>ROUND(66.08426510722855,1)</f>
        <v/>
      </c>
      <c r="H52" s="3">
        <f>ROUND(66.60515440976226,1)</f>
        <v/>
      </c>
      <c r="I52" s="3">
        <f>ROUND(61.37486365227158,1)</f>
        <v/>
      </c>
      <c r="J52" s="3">
        <f>ROUND(57.500237200822596,1)</f>
        <v/>
      </c>
      <c r="K52" s="3">
        <f>ROUND(47.95673856257218,1)</f>
        <v/>
      </c>
      <c r="L52" s="3">
        <f>ROUND(39.13846712428887,1)</f>
        <v/>
      </c>
      <c r="M52" s="3">
        <f>36634.25</f>
        <v/>
      </c>
      <c r="N52" s="3">
        <f>3675007.36</f>
        <v/>
      </c>
      <c r="O52" s="3">
        <f>28.16</f>
        <v/>
      </c>
      <c r="P52" s="3">
        <f>ROUND(M52/O52,2)</f>
        <v/>
      </c>
      <c r="Q52" s="3">
        <f>ROUND(N52/O52,2)</f>
        <v/>
      </c>
      <c r="R52" s="3">
        <f>ROUND(0.6258455051780704,1)</f>
        <v/>
      </c>
      <c r="S52" s="2" t="inlineStr">
        <is>
          <t>Google Brand</t>
        </is>
      </c>
      <c r="T52" s="2" t="inlineStr">
        <is>
          <t>Shipping delays in Q4</t>
        </is>
      </c>
    </row>
    <row r="53">
      <c r="A53" s="4" t="inlineStr">
        <is>
          <t>Sep</t>
        </is>
      </c>
      <c r="B53" s="4" t="inlineStr">
        <is>
          <t>Google Shopping</t>
        </is>
      </c>
      <c r="C53" s="5" t="n">
        <v>204</v>
      </c>
      <c r="D53" s="5" t="n">
        <v>100</v>
      </c>
      <c r="E53" s="5">
        <f>ROUND(86.635714380991,1)</f>
        <v/>
      </c>
      <c r="F53" s="5">
        <f>ROUND(76.70374440308416,1)</f>
        <v/>
      </c>
      <c r="G53" s="5">
        <f>ROUND(68.53380691215938,1)</f>
        <v/>
      </c>
      <c r="H53" s="5">
        <f>ROUND(58.87095133889036,1)</f>
        <v/>
      </c>
      <c r="I53" s="5">
        <f>ROUND(59.66881018039442,1)</f>
        <v/>
      </c>
      <c r="J53" s="5">
        <f>ROUND(57.5847561168928,1)</f>
        <v/>
      </c>
      <c r="K53" s="5">
        <f>ROUND(47.15135284509216,1)</f>
        <v/>
      </c>
      <c r="L53" s="5">
        <f>ROUND(40.759659840159856,1)</f>
        <v/>
      </c>
      <c r="M53" s="5">
        <f>41347.92</f>
        <v/>
      </c>
      <c r="N53" s="5">
        <f>4148148.10</f>
        <v/>
      </c>
      <c r="O53" s="5">
        <f>20.56</f>
        <v/>
      </c>
      <c r="P53" s="5">
        <f>ROUND(M53/O53,2)</f>
        <v/>
      </c>
      <c r="Q53" s="5">
        <f>ROUND(N53/O53,2)</f>
        <v/>
      </c>
      <c r="R53" s="5">
        <f>ROUND(0.4569519715151244,1)</f>
        <v/>
      </c>
      <c r="S53" s="4" t="inlineStr">
        <is>
          <t>Google Brand</t>
        </is>
      </c>
      <c r="T53" s="4" t="inlineStr">
        <is>
          <t>Competitive offer redemption</t>
        </is>
      </c>
    </row>
    <row r="54">
      <c r="A54" s="2" t="inlineStr">
        <is>
          <t>Sep</t>
        </is>
      </c>
      <c r="B54" s="2" t="inlineStr">
        <is>
          <t>TikTok</t>
        </is>
      </c>
      <c r="C54" s="3" t="n">
        <v>160</v>
      </c>
      <c r="D54" s="3" t="n">
        <v>100</v>
      </c>
      <c r="E54" s="3">
        <f>ROUND(84.75428228105486,1)</f>
        <v/>
      </c>
      <c r="F54" s="3">
        <f>ROUND(70.73873782030519,1)</f>
        <v/>
      </c>
      <c r="G54" s="3">
        <f>ROUND(67.69225519448388,1)</f>
        <v/>
      </c>
      <c r="H54" s="3">
        <f>ROUND(62.734837665196565,1)</f>
        <v/>
      </c>
      <c r="I54" s="3">
        <f>ROUND(56.47549723787679,1)</f>
        <v/>
      </c>
      <c r="J54" s="3">
        <f>ROUND(58.85624976074093,1)</f>
        <v/>
      </c>
      <c r="K54" s="3">
        <f>ROUND(45.03440340560654,1)</f>
        <v/>
      </c>
      <c r="L54" s="3">
        <f>ROUND(42.50158270186268,1)</f>
        <v/>
      </c>
      <c r="M54" s="3">
        <f>31852.48</f>
        <v/>
      </c>
      <c r="N54" s="3">
        <f>3195788.63</f>
        <v/>
      </c>
      <c r="O54" s="3">
        <f>22.69</f>
        <v/>
      </c>
      <c r="P54" s="3">
        <f>ROUND(M54/O54,2)</f>
        <v/>
      </c>
      <c r="Q54" s="3">
        <f>ROUND(N54/O54,2)</f>
        <v/>
      </c>
      <c r="R54" s="3">
        <f>ROUND(0.504255737145104,1)</f>
        <v/>
      </c>
      <c r="S54" s="2" t="inlineStr">
        <is>
          <t>Google Brand</t>
        </is>
      </c>
      <c r="T54" s="2" t="inlineStr">
        <is>
          <t>Better competitor bundle offer</t>
        </is>
      </c>
    </row>
    <row r="55">
      <c r="A55" s="4" t="inlineStr">
        <is>
          <t>Sep</t>
        </is>
      </c>
      <c r="B55" s="4" t="inlineStr">
        <is>
          <t>YouTube</t>
        </is>
      </c>
      <c r="C55" s="5" t="n">
        <v>161</v>
      </c>
      <c r="D55" s="5" t="n">
        <v>100</v>
      </c>
      <c r="E55" s="5">
        <f>ROUND(87.86571061570473,1)</f>
        <v/>
      </c>
      <c r="F55" s="5">
        <f>ROUND(74.38102707752803,1)</f>
        <v/>
      </c>
      <c r="G55" s="5">
        <f>ROUND(71.74998054045876,1)</f>
        <v/>
      </c>
      <c r="H55" s="5">
        <f>ROUND(62.09154622655624,1)</f>
        <v/>
      </c>
      <c r="I55" s="5">
        <f>ROUND(56.42065622117448,1)</f>
        <v/>
      </c>
      <c r="J55" s="5">
        <f>ROUND(50.84734847327762,1)</f>
        <v/>
      </c>
      <c r="K55" s="5">
        <f>ROUND(47.26923267091238,1)</f>
        <v/>
      </c>
      <c r="L55" s="5">
        <f>ROUND(41.245886761237955,1)</f>
        <v/>
      </c>
      <c r="M55" s="5">
        <f>32784.27</f>
        <v/>
      </c>
      <c r="N55" s="5">
        <f>3288523.94</f>
        <v/>
      </c>
      <c r="O55" s="5">
        <f>22.09</f>
        <v/>
      </c>
      <c r="P55" s="5">
        <f>ROUND(M55/O55,2)</f>
        <v/>
      </c>
      <c r="Q55" s="5">
        <f>ROUND(N55/O55,2)</f>
        <v/>
      </c>
      <c r="R55" s="5">
        <f>ROUND(0.4909795495173424,1)</f>
        <v/>
      </c>
      <c r="S55" s="4" t="inlineStr">
        <is>
          <t>Meta Retargeting</t>
        </is>
      </c>
      <c r="T55" s="4" t="inlineStr">
        <is>
          <t>Better competitor bundle offer</t>
        </is>
      </c>
    </row>
    <row r="56">
      <c r="A56" s="2" t="inlineStr">
        <is>
          <t>Oct</t>
        </is>
      </c>
      <c r="B56" s="2" t="inlineStr">
        <is>
          <t>Google Brand Search</t>
        </is>
      </c>
      <c r="C56" s="3" t="n">
        <v>185</v>
      </c>
      <c r="D56" s="3" t="n">
        <v>100</v>
      </c>
      <c r="E56" s="3">
        <f>ROUND(83.35050324983881,1)</f>
        <v/>
      </c>
      <c r="F56" s="3">
        <f>ROUND(75.78622026728453,1)</f>
        <v/>
      </c>
      <c r="G56" s="3">
        <f>ROUND(68.27293724892897,1)</f>
        <v/>
      </c>
      <c r="H56" s="3">
        <f>ROUND(59.84514537888404,1)</f>
        <v/>
      </c>
      <c r="I56" s="3">
        <f>ROUND(56.39938604189925,1)</f>
        <v/>
      </c>
      <c r="J56" s="3">
        <f>ROUND(55.9195896840277,1)</f>
        <v/>
      </c>
      <c r="K56" s="3">
        <f>ROUND(45.98123237340075,1)</f>
        <v/>
      </c>
      <c r="L56" s="3">
        <f>ROUND(40.30731351716629,1)</f>
        <v/>
      </c>
      <c r="M56" s="3">
        <f>36934.21</f>
        <v/>
      </c>
      <c r="N56" s="3">
        <f>3705259.98</f>
        <v/>
      </c>
      <c r="O56" s="3">
        <f>17.40</f>
        <v/>
      </c>
      <c r="P56" s="3">
        <f>ROUND(M56/O56,2)</f>
        <v/>
      </c>
      <c r="Q56" s="3">
        <f>ROUND(N56/O56,2)</f>
        <v/>
      </c>
      <c r="R56" s="3">
        <f>ROUND(0.38657134499803475,1)</f>
        <v/>
      </c>
      <c r="S56" s="2" t="inlineStr">
        <is>
          <t>Meta Retargeting</t>
        </is>
      </c>
      <c r="T56" s="2" t="inlineStr">
        <is>
          <t>Seasonal reduction (summer)</t>
        </is>
      </c>
    </row>
    <row r="57">
      <c r="A57" s="4" t="inlineStr">
        <is>
          <t>Oct</t>
        </is>
      </c>
      <c r="B57" s="4" t="inlineStr">
        <is>
          <t>Google Generic Search</t>
        </is>
      </c>
      <c r="C57" s="5" t="n">
        <v>150</v>
      </c>
      <c r="D57" s="5" t="n">
        <v>100</v>
      </c>
      <c r="E57" s="5">
        <f>ROUND(80.24380278644817,1)</f>
        <v/>
      </c>
      <c r="F57" s="5">
        <f>ROUND(75.25331548273589,1)</f>
        <v/>
      </c>
      <c r="G57" s="5">
        <f>ROUND(65.54857393699508,1)</f>
        <v/>
      </c>
      <c r="H57" s="5">
        <f>ROUND(60.219297278958805,1)</f>
        <v/>
      </c>
      <c r="I57" s="5">
        <f>ROUND(59.587405805260104,1)</f>
        <v/>
      </c>
      <c r="J57" s="5">
        <f>ROUND(59.549787980536365,1)</f>
        <v/>
      </c>
      <c r="K57" s="5">
        <f>ROUND(48.87800602762708,1)</f>
        <v/>
      </c>
      <c r="L57" s="5">
        <f>ROUND(41.46361758047298,1)</f>
        <v/>
      </c>
      <c r="M57" s="5">
        <f>29757.54</f>
        <v/>
      </c>
      <c r="N57" s="5">
        <f>2985871.34</f>
        <v/>
      </c>
      <c r="O57" s="5">
        <f>25.58</f>
        <v/>
      </c>
      <c r="P57" s="5">
        <f>ROUND(M57/O57,2)</f>
        <v/>
      </c>
      <c r="Q57" s="5">
        <f>ROUND(N57/O57,2)</f>
        <v/>
      </c>
      <c r="R57" s="5">
        <f>ROUND(0.5684041372990314,1)</f>
        <v/>
      </c>
      <c r="S57" s="4" t="inlineStr">
        <is>
          <t>Google Shopping</t>
        </is>
      </c>
      <c r="T57" s="4" t="inlineStr">
        <is>
          <t>Seasonal reduction (summer)</t>
        </is>
      </c>
    </row>
    <row r="58">
      <c r="A58" s="2" t="inlineStr">
        <is>
          <t>Oct</t>
        </is>
      </c>
      <c r="B58" s="2" t="inlineStr">
        <is>
          <t>Meta Prospecting</t>
        </is>
      </c>
      <c r="C58" s="3" t="n">
        <v>224</v>
      </c>
      <c r="D58" s="3" t="n">
        <v>100</v>
      </c>
      <c r="E58" s="3">
        <f>ROUND(85.21794417231808,1)</f>
        <v/>
      </c>
      <c r="F58" s="3">
        <f>ROUND(71.56414589698467,1)</f>
        <v/>
      </c>
      <c r="G58" s="3">
        <f>ROUND(72.51320571883993,1)</f>
        <v/>
      </c>
      <c r="H58" s="3">
        <f>ROUND(62.201674377496644,1)</f>
        <v/>
      </c>
      <c r="I58" s="3">
        <f>ROUND(55.698586878019036,1)</f>
        <v/>
      </c>
      <c r="J58" s="3">
        <f>ROUND(51.10850019852016,1)</f>
        <v/>
      </c>
      <c r="K58" s="3">
        <f>ROUND(48.18870615325605,1)</f>
        <v/>
      </c>
      <c r="L58" s="3">
        <f>ROUND(41.16633505003527,1)</f>
        <v/>
      </c>
      <c r="M58" s="3">
        <f>45077.31</f>
        <v/>
      </c>
      <c r="N58" s="3">
        <f>4521889.94</f>
        <v/>
      </c>
      <c r="O58" s="3">
        <f>27.90</f>
        <v/>
      </c>
      <c r="P58" s="3">
        <f>ROUND(M58/O58,2)</f>
        <v/>
      </c>
      <c r="Q58" s="3">
        <f>ROUND(N58/O58,2)</f>
        <v/>
      </c>
      <c r="R58" s="3">
        <f>ROUND(0.6199215440551623,1)</f>
        <v/>
      </c>
      <c r="S58" s="2" t="inlineStr">
        <is>
          <t>Meta Retargeting</t>
        </is>
      </c>
      <c r="T58" s="2" t="inlineStr">
        <is>
          <t>Low engagement with emails</t>
        </is>
      </c>
    </row>
    <row r="59">
      <c r="A59" s="4" t="inlineStr">
        <is>
          <t>Oct</t>
        </is>
      </c>
      <c r="B59" s="4" t="inlineStr">
        <is>
          <t>Google Shopping</t>
        </is>
      </c>
      <c r="C59" s="5" t="n">
        <v>195</v>
      </c>
      <c r="D59" s="5" t="n">
        <v>100</v>
      </c>
      <c r="E59" s="5">
        <f>ROUND(89.28499218259782,1)</f>
        <v/>
      </c>
      <c r="F59" s="5">
        <f>ROUND(75.83019550156368,1)</f>
        <v/>
      </c>
      <c r="G59" s="5">
        <f>ROUND(63.90879312749311,1)</f>
        <v/>
      </c>
      <c r="H59" s="5">
        <f>ROUND(57.78446520625284,1)</f>
        <v/>
      </c>
      <c r="I59" s="5">
        <f>ROUND(58.12546510522911,1)</f>
        <v/>
      </c>
      <c r="J59" s="5">
        <f>ROUND(54.44659998552249,1)</f>
        <v/>
      </c>
      <c r="K59" s="5">
        <f>ROUND(46.52054495004992,1)</f>
        <v/>
      </c>
      <c r="L59" s="5">
        <f>ROUND(42.448553269830995,1)</f>
        <v/>
      </c>
      <c r="M59" s="5">
        <f>39042.95</f>
        <v/>
      </c>
      <c r="N59" s="5">
        <f>3916879.80</f>
        <v/>
      </c>
      <c r="O59" s="5">
        <f>20.14</f>
        <v/>
      </c>
      <c r="P59" s="5">
        <f>ROUND(M59/O59,2)</f>
        <v/>
      </c>
      <c r="Q59" s="5">
        <f>ROUND(N59/O59,2)</f>
        <v/>
      </c>
      <c r="R59" s="5">
        <f>ROUND(0.44754120230951455,1)</f>
        <v/>
      </c>
      <c r="S59" s="4" t="inlineStr">
        <is>
          <t>Google Brand</t>
        </is>
      </c>
      <c r="T59" s="4" t="inlineStr">
        <is>
          <t>Shipping delays in Q4</t>
        </is>
      </c>
    </row>
    <row r="60">
      <c r="A60" s="2" t="inlineStr">
        <is>
          <t>Oct</t>
        </is>
      </c>
      <c r="B60" s="2" t="inlineStr">
        <is>
          <t>TikTok</t>
        </is>
      </c>
      <c r="C60" s="3" t="n">
        <v>151</v>
      </c>
      <c r="D60" s="3" t="n">
        <v>100</v>
      </c>
      <c r="E60" s="3">
        <f>ROUND(81.0391755507979,1)</f>
        <v/>
      </c>
      <c r="F60" s="3">
        <f>ROUND(77.37261843518681,1)</f>
        <v/>
      </c>
      <c r="G60" s="3">
        <f>ROUND(71.56594805847472,1)</f>
        <v/>
      </c>
      <c r="H60" s="3">
        <f>ROUND(59.054903481189385,1)</f>
        <v/>
      </c>
      <c r="I60" s="3">
        <f>ROUND(62.420023626553785,1)</f>
        <v/>
      </c>
      <c r="J60" s="3">
        <f>ROUND(51.75114851818063,1)</f>
        <v/>
      </c>
      <c r="K60" s="3">
        <f>ROUND(49.993067643288725,1)</f>
        <v/>
      </c>
      <c r="L60" s="3">
        <f>ROUND(40.571921556083666,1)</f>
        <v/>
      </c>
      <c r="M60" s="3">
        <f>30676.21</f>
        <v/>
      </c>
      <c r="N60" s="3">
        <f>3077291.27</f>
        <v/>
      </c>
      <c r="O60" s="3">
        <f>25.03</f>
        <v/>
      </c>
      <c r="P60" s="3">
        <f>ROUND(M60/O60,2)</f>
        <v/>
      </c>
      <c r="Q60" s="3">
        <f>ROUND(N60/O60,2)</f>
        <v/>
      </c>
      <c r="R60" s="3">
        <f>ROUND(0.5563144672142667,1)</f>
        <v/>
      </c>
      <c r="S60" s="2" t="inlineStr">
        <is>
          <t>Meta Retargeting</t>
        </is>
      </c>
      <c r="T60" s="2" t="inlineStr">
        <is>
          <t>Seasonal reduction (summer)</t>
        </is>
      </c>
    </row>
    <row r="61">
      <c r="A61" s="4" t="inlineStr">
        <is>
          <t>Oct</t>
        </is>
      </c>
      <c r="B61" s="4" t="inlineStr">
        <is>
          <t>YouTube</t>
        </is>
      </c>
      <c r="C61" s="5" t="n">
        <v>171</v>
      </c>
      <c r="D61" s="5" t="n">
        <v>100</v>
      </c>
      <c r="E61" s="5">
        <f>ROUND(84.68482791807449,1)</f>
        <v/>
      </c>
      <c r="F61" s="5">
        <f>ROUND(73.96447917395969,1)</f>
        <v/>
      </c>
      <c r="G61" s="5">
        <f>ROUND(64.3657526288866,1)</f>
        <v/>
      </c>
      <c r="H61" s="5">
        <f>ROUND(63.89462063801814,1)</f>
        <v/>
      </c>
      <c r="I61" s="5">
        <f>ROUND(57.54914749019497,1)</f>
        <v/>
      </c>
      <c r="J61" s="5">
        <f>ROUND(54.22270269125968,1)</f>
        <v/>
      </c>
      <c r="K61" s="5">
        <f>ROUND(46.57902056748705,1)</f>
        <v/>
      </c>
      <c r="L61" s="5">
        <f>ROUND(42.33000160227773,1)</f>
        <v/>
      </c>
      <c r="M61" s="5">
        <f>34201.11</f>
        <v/>
      </c>
      <c r="N61" s="5">
        <f>3431124.67</f>
        <v/>
      </c>
      <c r="O61" s="5">
        <f>20.80</f>
        <v/>
      </c>
      <c r="P61" s="5">
        <f>ROUND(M61/O61,2)</f>
        <v/>
      </c>
      <c r="Q61" s="5">
        <f>ROUND(N61/O61,2)</f>
        <v/>
      </c>
      <c r="R61" s="5">
        <f>ROUND(0.46215373705978113,1)</f>
        <v/>
      </c>
      <c r="S61" s="4" t="inlineStr">
        <is>
          <t>Google Brand</t>
        </is>
      </c>
      <c r="T61" s="4" t="inlineStr">
        <is>
          <t>Price sensitivity post-trial</t>
        </is>
      </c>
    </row>
    <row r="62">
      <c r="A62" s="2" t="inlineStr">
        <is>
          <t>Nov</t>
        </is>
      </c>
      <c r="B62" s="2" t="inlineStr">
        <is>
          <t>Google Brand Search</t>
        </is>
      </c>
      <c r="C62" s="3" t="n">
        <v>219</v>
      </c>
      <c r="D62" s="3" t="n">
        <v>100</v>
      </c>
      <c r="E62" s="3">
        <f>ROUND(80.87976526770588,1)</f>
        <v/>
      </c>
      <c r="F62" s="3">
        <f>ROUND(76.8782334614266,1)</f>
        <v/>
      </c>
      <c r="G62" s="3">
        <f>ROUND(63.238664341114394,1)</f>
        <v/>
      </c>
      <c r="H62" s="3">
        <f>ROUND(65.18928721742311,1)</f>
        <v/>
      </c>
      <c r="I62" s="3">
        <f>ROUND(58.38521094423188,1)</f>
        <v/>
      </c>
      <c r="J62" s="3">
        <f>ROUND(51.79879884323493,1)</f>
        <v/>
      </c>
      <c r="K62" s="3">
        <f>ROUND(48.64735067668219,1)</f>
        <v/>
      </c>
      <c r="L62" s="3">
        <f>ROUND(39.324187990696586,1)</f>
        <v/>
      </c>
      <c r="M62" s="3">
        <f>43812.49</f>
        <v/>
      </c>
      <c r="N62" s="3">
        <f>4395023.16</f>
        <v/>
      </c>
      <c r="O62" s="3">
        <f>17.73</f>
        <v/>
      </c>
      <c r="P62" s="3">
        <f>ROUND(M62/O62,2)</f>
        <v/>
      </c>
      <c r="Q62" s="3">
        <f>ROUND(N62/O62,2)</f>
        <v/>
      </c>
      <c r="R62" s="3">
        <f>ROUND(0.3940315527104322,1)</f>
        <v/>
      </c>
      <c r="S62" s="2" t="inlineStr">
        <is>
          <t>Google Brand</t>
        </is>
      </c>
      <c r="T62" s="2" t="inlineStr">
        <is>
          <t>Product quality mismatch</t>
        </is>
      </c>
    </row>
    <row r="63">
      <c r="A63" s="4" t="inlineStr">
        <is>
          <t>Nov</t>
        </is>
      </c>
      <c r="B63" s="4" t="inlineStr">
        <is>
          <t>Google Generic Search</t>
        </is>
      </c>
      <c r="C63" s="5" t="n">
        <v>214</v>
      </c>
      <c r="D63" s="5" t="n">
        <v>100</v>
      </c>
      <c r="E63" s="5">
        <f>ROUND(87.17539968480456,1)</f>
        <v/>
      </c>
      <c r="F63" s="5">
        <f>ROUND(78.53095305221203,1)</f>
        <v/>
      </c>
      <c r="G63" s="5">
        <f>ROUND(72.45204379737567,1)</f>
        <v/>
      </c>
      <c r="H63" s="5">
        <f>ROUND(58.41133835592876,1)</f>
        <v/>
      </c>
      <c r="I63" s="5">
        <f>ROUND(60.15356882204749,1)</f>
        <v/>
      </c>
      <c r="J63" s="5">
        <f>ROUND(53.39126414237487,1)</f>
        <v/>
      </c>
      <c r="K63" s="5">
        <f>ROUND(49.91231493451025,1)</f>
        <v/>
      </c>
      <c r="L63" s="5">
        <f>ROUND(40.17550335279983,1)</f>
        <v/>
      </c>
      <c r="M63" s="5">
        <f>43982.45</f>
        <v/>
      </c>
      <c r="N63" s="5">
        <f>4412062.45</f>
        <v/>
      </c>
      <c r="O63" s="5">
        <f>24.85</f>
        <v/>
      </c>
      <c r="P63" s="5">
        <f>ROUND(M63/O63,2)</f>
        <v/>
      </c>
      <c r="Q63" s="5">
        <f>ROUND(N63/O63,2)</f>
        <v/>
      </c>
      <c r="R63" s="5">
        <f>ROUND(0.5522834570405528,1)</f>
        <v/>
      </c>
      <c r="S63" s="4" t="inlineStr">
        <is>
          <t>Google Shopping</t>
        </is>
      </c>
      <c r="T63" s="4" t="inlineStr">
        <is>
          <t>Competitive offer redemption</t>
        </is>
      </c>
    </row>
    <row r="64">
      <c r="A64" s="2" t="inlineStr">
        <is>
          <t>Nov</t>
        </is>
      </c>
      <c r="B64" s="2" t="inlineStr">
        <is>
          <t>Meta Prospecting</t>
        </is>
      </c>
      <c r="C64" s="3" t="n">
        <v>168</v>
      </c>
      <c r="D64" s="3" t="n">
        <v>100</v>
      </c>
      <c r="E64" s="3">
        <f>ROUND(83.0266815055276,1)</f>
        <v/>
      </c>
      <c r="F64" s="3">
        <f>ROUND(77.19846264500869,1)</f>
        <v/>
      </c>
      <c r="G64" s="3">
        <f>ROUND(67.09306133894657,1)</f>
        <v/>
      </c>
      <c r="H64" s="3">
        <f>ROUND(61.72702072156023,1)</f>
        <v/>
      </c>
      <c r="I64" s="3">
        <f>ROUND(54.54868234406637,1)</f>
        <v/>
      </c>
      <c r="J64" s="3">
        <f>ROUND(59.08190544966776,1)</f>
        <v/>
      </c>
      <c r="K64" s="3">
        <f>ROUND(48.03562228250989,1)</f>
        <v/>
      </c>
      <c r="L64" s="3">
        <f>ROUND(44.47662092252158,1)</f>
        <v/>
      </c>
      <c r="M64" s="3">
        <f>33535.70</f>
        <v/>
      </c>
      <c r="N64" s="3">
        <f>3365030.47</f>
        <v/>
      </c>
      <c r="O64" s="3">
        <f>25.68</f>
        <v/>
      </c>
      <c r="P64" s="3">
        <f>ROUND(M64/O64,2)</f>
        <v/>
      </c>
      <c r="Q64" s="3">
        <f>ROUND(N64/O64,2)</f>
        <v/>
      </c>
      <c r="R64" s="3">
        <f>ROUND(0.5707256503463191,1)</f>
        <v/>
      </c>
      <c r="S64" s="2" t="inlineStr">
        <is>
          <t>Google Brand</t>
        </is>
      </c>
      <c r="T64" s="2" t="inlineStr">
        <is>
          <t>Seasonal reduction (summer)</t>
        </is>
      </c>
    </row>
    <row r="65">
      <c r="A65" s="4" t="inlineStr">
        <is>
          <t>Nov</t>
        </is>
      </c>
      <c r="B65" s="4" t="inlineStr">
        <is>
          <t>Google Shopping</t>
        </is>
      </c>
      <c r="C65" s="5" t="n">
        <v>150</v>
      </c>
      <c r="D65" s="5" t="n">
        <v>100</v>
      </c>
      <c r="E65" s="5">
        <f>ROUND(84.05034066542441,1)</f>
        <v/>
      </c>
      <c r="F65" s="5">
        <f>ROUND(70.55955488159897,1)</f>
        <v/>
      </c>
      <c r="G65" s="5">
        <f>ROUND(70.68974401856244,1)</f>
        <v/>
      </c>
      <c r="H65" s="5">
        <f>ROUND(59.49976176104155,1)</f>
        <v/>
      </c>
      <c r="I65" s="5">
        <f>ROUND(55.436153352224224,1)</f>
        <v/>
      </c>
      <c r="J65" s="5">
        <f>ROUND(58.82984778911233,1)</f>
        <v/>
      </c>
      <c r="K65" s="5">
        <f>ROUND(47.96182446744793,1)</f>
        <v/>
      </c>
      <c r="L65" s="5">
        <f>ROUND(44.90788449964595,1)</f>
        <v/>
      </c>
      <c r="M65" s="5">
        <f>29715.90</f>
        <v/>
      </c>
      <c r="N65" s="5">
        <f>2981829.71</f>
        <v/>
      </c>
      <c r="O65" s="5">
        <f>20.66</f>
        <v/>
      </c>
      <c r="P65" s="5">
        <f>ROUND(M65/O65,2)</f>
        <v/>
      </c>
      <c r="Q65" s="5">
        <f>ROUND(N65/O65,2)</f>
        <v/>
      </c>
      <c r="R65" s="5">
        <f>ROUND(0.4591959106974487,1)</f>
        <v/>
      </c>
      <c r="S65" s="4" t="inlineStr">
        <is>
          <t>Google Shopping</t>
        </is>
      </c>
      <c r="T65" s="4" t="inlineStr">
        <is>
          <t>Seasonal reduction (summer)</t>
        </is>
      </c>
    </row>
    <row r="66">
      <c r="A66" s="2" t="inlineStr">
        <is>
          <t>Nov</t>
        </is>
      </c>
      <c r="B66" s="2" t="inlineStr">
        <is>
          <t>TikTok</t>
        </is>
      </c>
      <c r="C66" s="3" t="n">
        <v>187</v>
      </c>
      <c r="D66" s="3" t="n">
        <v>100</v>
      </c>
      <c r="E66" s="3">
        <f>ROUND(88.37385030491549,1)</f>
        <v/>
      </c>
      <c r="F66" s="3">
        <f>ROUND(78.17734454466671,1)</f>
        <v/>
      </c>
      <c r="G66" s="3">
        <f>ROUND(70.39095786706596,1)</f>
        <v/>
      </c>
      <c r="H66" s="3">
        <f>ROUND(59.000217210497254,1)</f>
        <v/>
      </c>
      <c r="I66" s="3">
        <f>ROUND(54.2359432586886,1)</f>
        <v/>
      </c>
      <c r="J66" s="3">
        <f>ROUND(57.580691871675775,1)</f>
        <v/>
      </c>
      <c r="K66" s="3">
        <f>ROUND(50.52220984789872,1)</f>
        <v/>
      </c>
      <c r="L66" s="3">
        <f>ROUND(39.369375124536894,1)</f>
        <v/>
      </c>
      <c r="M66" s="3">
        <f>37882.51</f>
        <v/>
      </c>
      <c r="N66" s="3">
        <f>3800660.30</f>
        <v/>
      </c>
      <c r="O66" s="3">
        <f>23.34</f>
        <v/>
      </c>
      <c r="P66" s="3">
        <f>ROUND(M66/O66,2)</f>
        <v/>
      </c>
      <c r="Q66" s="3">
        <f>ROUND(N66/O66,2)</f>
        <v/>
      </c>
      <c r="R66" s="3">
        <f>ROUND(0.518651203604507,1)</f>
        <v/>
      </c>
      <c r="S66" s="2" t="inlineStr">
        <is>
          <t>Google Shopping</t>
        </is>
      </c>
      <c r="T66" s="2" t="inlineStr">
        <is>
          <t>Competitive offer redemption</t>
        </is>
      </c>
    </row>
    <row r="67">
      <c r="A67" s="4" t="inlineStr">
        <is>
          <t>Nov</t>
        </is>
      </c>
      <c r="B67" s="4" t="inlineStr">
        <is>
          <t>YouTube</t>
        </is>
      </c>
      <c r="C67" s="5" t="n">
        <v>235</v>
      </c>
      <c r="D67" s="5" t="n">
        <v>100</v>
      </c>
      <c r="E67" s="5">
        <f>ROUND(88.52312652776939,1)</f>
        <v/>
      </c>
      <c r="F67" s="5">
        <f>ROUND(70.28025597069042,1)</f>
        <v/>
      </c>
      <c r="G67" s="5">
        <f>ROUND(63.03709395927089,1)</f>
        <v/>
      </c>
      <c r="H67" s="5">
        <f>ROUND(58.43810371916968,1)</f>
        <v/>
      </c>
      <c r="I67" s="5">
        <f>ROUND(56.4185991762046,1)</f>
        <v/>
      </c>
      <c r="J67" s="5">
        <f>ROUND(56.63635980007365,1)</f>
        <v/>
      </c>
      <c r="K67" s="5">
        <f>ROUND(46.28765537793337,1)</f>
        <v/>
      </c>
      <c r="L67" s="5">
        <f>ROUND(41.64573294107959,1)</f>
        <v/>
      </c>
      <c r="M67" s="5">
        <f>46180.73</f>
        <v/>
      </c>
      <c r="N67" s="5">
        <f>4633360.92</f>
        <v/>
      </c>
      <c r="O67" s="5">
        <f>21.55</f>
        <v/>
      </c>
      <c r="P67" s="5">
        <f>ROUND(M67/O67,2)</f>
        <v/>
      </c>
      <c r="Q67" s="5">
        <f>ROUND(N67/O67,2)</f>
        <v/>
      </c>
      <c r="R67" s="5">
        <f>ROUND(0.4789500488429159,1)</f>
        <v/>
      </c>
      <c r="S67" s="4" t="inlineStr">
        <is>
          <t>Meta Retargeting</t>
        </is>
      </c>
      <c r="T67" s="4" t="inlineStr">
        <is>
          <t>Price sensitivity post-trial</t>
        </is>
      </c>
    </row>
    <row r="68">
      <c r="A68" s="2" t="inlineStr">
        <is>
          <t>Dec</t>
        </is>
      </c>
      <c r="B68" s="2" t="inlineStr">
        <is>
          <t>Google Brand Search</t>
        </is>
      </c>
      <c r="C68" s="3" t="n">
        <v>206</v>
      </c>
      <c r="D68" s="3" t="n">
        <v>100</v>
      </c>
      <c r="E68" s="3">
        <f>ROUND(85.58112435577375,1)</f>
        <v/>
      </c>
      <c r="F68" s="3">
        <f>ROUND(71.10114988147811,1)</f>
        <v/>
      </c>
      <c r="G68" s="3">
        <f>ROUND(66.35271584917281,1)</f>
        <v/>
      </c>
      <c r="H68" s="3">
        <f>ROUND(65.06356888853038,1)</f>
        <v/>
      </c>
      <c r="I68" s="3">
        <f>ROUND(58.601023308691424,1)</f>
        <v/>
      </c>
      <c r="J68" s="3">
        <f>ROUND(57.99507308453184,1)</f>
        <v/>
      </c>
      <c r="K68" s="3">
        <f>ROUND(46.601669344377925,1)</f>
        <v/>
      </c>
      <c r="L68" s="3">
        <f>ROUND(43.640934514283636,1)</f>
        <v/>
      </c>
      <c r="M68" s="3">
        <f>41409.05</f>
        <v/>
      </c>
      <c r="N68" s="3">
        <f>4154646.76</f>
        <v/>
      </c>
      <c r="O68" s="3">
        <f>16.38</f>
        <v/>
      </c>
      <c r="P68" s="3">
        <f>ROUND(M68/O68,2)</f>
        <v/>
      </c>
      <c r="Q68" s="3">
        <f>ROUND(N68/O68,2)</f>
        <v/>
      </c>
      <c r="R68" s="3">
        <f>ROUND(0.36404834261188435,1)</f>
        <v/>
      </c>
      <c r="S68" s="2" t="inlineStr">
        <is>
          <t>Google Shopping</t>
        </is>
      </c>
      <c r="T68" s="2" t="inlineStr">
        <is>
          <t>Shipping delays in Q4</t>
        </is>
      </c>
    </row>
    <row r="69">
      <c r="A69" s="4" t="inlineStr">
        <is>
          <t>Dec</t>
        </is>
      </c>
      <c r="B69" s="4" t="inlineStr">
        <is>
          <t>Google Generic Search</t>
        </is>
      </c>
      <c r="C69" s="5" t="n">
        <v>150</v>
      </c>
      <c r="D69" s="5" t="n">
        <v>100</v>
      </c>
      <c r="E69" s="5">
        <f>ROUND(87.94228796380726,1)</f>
        <v/>
      </c>
      <c r="F69" s="5">
        <f>ROUND(76.29583416551147,1)</f>
        <v/>
      </c>
      <c r="G69" s="5">
        <f>ROUND(67.78970080060495,1)</f>
        <v/>
      </c>
      <c r="H69" s="5">
        <f>ROUND(63.025342780744296,1)</f>
        <v/>
      </c>
      <c r="I69" s="5">
        <f>ROUND(62.03131679244147,1)</f>
        <v/>
      </c>
      <c r="J69" s="5">
        <f>ROUND(52.160527530004096,1)</f>
        <v/>
      </c>
      <c r="K69" s="5">
        <f>ROUND(50.326513923117005,1)</f>
        <v/>
      </c>
      <c r="L69" s="5">
        <f>ROUND(44.83668361054137,1)</f>
        <v/>
      </c>
      <c r="M69" s="5">
        <f>30853.20</f>
        <v/>
      </c>
      <c r="N69" s="5">
        <f>3095264.61</f>
        <v/>
      </c>
      <c r="O69" s="5">
        <f>26.39</f>
        <v/>
      </c>
      <c r="P69" s="5">
        <f>ROUND(M69/O69,2)</f>
        <v/>
      </c>
      <c r="Q69" s="5">
        <f>ROUND(N69/O69,2)</f>
        <v/>
      </c>
      <c r="R69" s="5">
        <f>ROUND(0.5863550742342517,1)</f>
        <v/>
      </c>
      <c r="S69" s="4" t="inlineStr">
        <is>
          <t>Google Shopping</t>
        </is>
      </c>
      <c r="T69" s="4" t="inlineStr">
        <is>
          <t>Dietary preference change</t>
        </is>
      </c>
    </row>
    <row r="70">
      <c r="A70" s="2" t="inlineStr">
        <is>
          <t>Dec</t>
        </is>
      </c>
      <c r="B70" s="2" t="inlineStr">
        <is>
          <t>Meta Prospecting</t>
        </is>
      </c>
      <c r="C70" s="3" t="n">
        <v>189</v>
      </c>
      <c r="D70" s="3" t="n">
        <v>100</v>
      </c>
      <c r="E70" s="3">
        <f>ROUND(87.10782221825775,1)</f>
        <v/>
      </c>
      <c r="F70" s="3">
        <f>ROUND(74.57640700214232,1)</f>
        <v/>
      </c>
      <c r="G70" s="3">
        <f>ROUND(67.81063913215623,1)</f>
        <v/>
      </c>
      <c r="H70" s="3">
        <f>ROUND(61.62402371037861,1)</f>
        <v/>
      </c>
      <c r="I70" s="3">
        <f>ROUND(56.48468433669912,1)</f>
        <v/>
      </c>
      <c r="J70" s="3">
        <f>ROUND(54.81784973609919,1)</f>
        <v/>
      </c>
      <c r="K70" s="3">
        <f>ROUND(50.84397413098607,1)</f>
        <v/>
      </c>
      <c r="L70" s="3">
        <f>ROUND(40.052494281736614,1)</f>
        <v/>
      </c>
      <c r="M70" s="3">
        <f>38068.68</f>
        <v/>
      </c>
      <c r="N70" s="3">
        <f>3819261.42</f>
        <v/>
      </c>
      <c r="O70" s="3">
        <f>29.73</f>
        <v/>
      </c>
      <c r="P70" s="3">
        <f>ROUND(M70/O70,2)</f>
        <v/>
      </c>
      <c r="Q70" s="3">
        <f>ROUND(N70/O70,2)</f>
        <v/>
      </c>
      <c r="R70" s="3">
        <f>ROUND(0.6605791454776234,1)</f>
        <v/>
      </c>
      <c r="S70" s="2" t="inlineStr">
        <is>
          <t>Meta Retargeting</t>
        </is>
      </c>
      <c r="T70" s="2" t="inlineStr">
        <is>
          <t>Competitive offer redemption</t>
        </is>
      </c>
    </row>
    <row r="71">
      <c r="A71" s="4" t="inlineStr">
        <is>
          <t>Dec</t>
        </is>
      </c>
      <c r="B71" s="4" t="inlineStr">
        <is>
          <t>Google Shopping</t>
        </is>
      </c>
      <c r="C71" s="5" t="n">
        <v>150</v>
      </c>
      <c r="D71" s="5" t="n">
        <v>100</v>
      </c>
      <c r="E71" s="5">
        <f>ROUND(87.76483204164427,1)</f>
        <v/>
      </c>
      <c r="F71" s="5">
        <f>ROUND(78.17202466346676,1)</f>
        <v/>
      </c>
      <c r="G71" s="5">
        <f>ROUND(64.49011320224311,1)</f>
        <v/>
      </c>
      <c r="H71" s="5">
        <f>ROUND(59.70330305971265,1)</f>
        <v/>
      </c>
      <c r="I71" s="5">
        <f>ROUND(61.99091803191139,1)</f>
        <v/>
      </c>
      <c r="J71" s="5">
        <f>ROUND(51.76386627395117,1)</f>
        <v/>
      </c>
      <c r="K71" s="5">
        <f>ROUND(50.70017898490229,1)</f>
        <v/>
      </c>
      <c r="L71" s="5">
        <f>ROUND(43.849696413411564,1)</f>
        <v/>
      </c>
      <c r="M71" s="5">
        <f>30518.18</f>
        <v/>
      </c>
      <c r="N71" s="5">
        <f>3061694.22</f>
        <v/>
      </c>
      <c r="O71" s="5">
        <f>19.84</f>
        <v/>
      </c>
      <c r="P71" s="5">
        <f>ROUND(M71/O71,2)</f>
        <v/>
      </c>
      <c r="Q71" s="5">
        <f>ROUND(N71/O71,2)</f>
        <v/>
      </c>
      <c r="R71" s="5">
        <f>ROUND(0.44095690833526846,1)</f>
        <v/>
      </c>
      <c r="S71" s="4" t="inlineStr">
        <is>
          <t>Google Brand</t>
        </is>
      </c>
      <c r="T71" s="4" t="inlineStr">
        <is>
          <t>Seasonal reduction (summer)</t>
        </is>
      </c>
    </row>
    <row r="72">
      <c r="A72" s="2" t="inlineStr">
        <is>
          <t>Dec</t>
        </is>
      </c>
      <c r="B72" s="2" t="inlineStr">
        <is>
          <t>TikTok</t>
        </is>
      </c>
      <c r="C72" s="3" t="n">
        <v>235</v>
      </c>
      <c r="D72" s="3" t="n">
        <v>100</v>
      </c>
      <c r="E72" s="3">
        <f>ROUND(86.53814559072828,1)</f>
        <v/>
      </c>
      <c r="F72" s="3">
        <f>ROUND(70.19521597250342,1)</f>
        <v/>
      </c>
      <c r="G72" s="3">
        <f>ROUND(66.66330611188955,1)</f>
        <v/>
      </c>
      <c r="H72" s="3">
        <f>ROUND(62.214076860191255,1)</f>
        <v/>
      </c>
      <c r="I72" s="3">
        <f>ROUND(55.032530929089454,1)</f>
        <v/>
      </c>
      <c r="J72" s="3">
        <f>ROUND(52.61970246463514,1)</f>
        <v/>
      </c>
      <c r="K72" s="3">
        <f>ROUND(47.65482724685995,1)</f>
        <v/>
      </c>
      <c r="L72" s="3">
        <f>ROUND(39.77820473182152,1)</f>
        <v/>
      </c>
      <c r="M72" s="3">
        <f>46598.03</f>
        <v/>
      </c>
      <c r="N72" s="3">
        <f>4674613.21</f>
        <v/>
      </c>
      <c r="O72" s="3">
        <f>25.61</f>
        <v/>
      </c>
      <c r="P72" s="3">
        <f>ROUND(M72/O72,2)</f>
        <v/>
      </c>
      <c r="Q72" s="3">
        <f>ROUND(N72/O72,2)</f>
        <v/>
      </c>
      <c r="R72" s="3">
        <f>ROUND(0.5690539273689309,1)</f>
        <v/>
      </c>
      <c r="S72" s="2" t="inlineStr">
        <is>
          <t>Google Brand</t>
        </is>
      </c>
      <c r="T72" s="2" t="inlineStr">
        <is>
          <t>Shipping delays in Q4</t>
        </is>
      </c>
    </row>
    <row r="73">
      <c r="A73" s="4" t="inlineStr">
        <is>
          <t>Dec</t>
        </is>
      </c>
      <c r="B73" s="4" t="inlineStr">
        <is>
          <t>YouTube</t>
        </is>
      </c>
      <c r="C73" s="5" t="n">
        <v>178</v>
      </c>
      <c r="D73" s="5" t="n">
        <v>100</v>
      </c>
      <c r="E73" s="5">
        <f>ROUND(88.67886403438233,1)</f>
        <v/>
      </c>
      <c r="F73" s="5">
        <f>ROUND(75.76034579838006,1)</f>
        <v/>
      </c>
      <c r="G73" s="5">
        <f>ROUND(64.4785014859588,1)</f>
        <v/>
      </c>
      <c r="H73" s="5">
        <f>ROUND(64.05734149666907,1)</f>
        <v/>
      </c>
      <c r="I73" s="5">
        <f>ROUND(58.676793523639134,1)</f>
        <v/>
      </c>
      <c r="J73" s="5">
        <f>ROUND(58.519385580872715,1)</f>
        <v/>
      </c>
      <c r="K73" s="5">
        <f>ROUND(46.58245756089054,1)</f>
        <v/>
      </c>
      <c r="L73" s="5">
        <f>ROUND(43.28489726680136,1)</f>
        <v/>
      </c>
      <c r="M73" s="5">
        <f>36177.31</f>
        <v/>
      </c>
      <c r="N73" s="5">
        <f>3629617.07</f>
        <v/>
      </c>
      <c r="O73" s="5">
        <f>20.37</f>
        <v/>
      </c>
      <c r="P73" s="5">
        <f>ROUND(M73/O73,2)</f>
        <v/>
      </c>
      <c r="Q73" s="5">
        <f>ROUND(N73/O73,2)</f>
        <v/>
      </c>
      <c r="R73" s="5">
        <f>ROUND(0.45262841408310006,1)</f>
        <v/>
      </c>
      <c r="S73" s="4" t="inlineStr">
        <is>
          <t>Meta Retargeting</t>
        </is>
      </c>
      <c r="T73" s="4" t="inlineStr">
        <is>
          <t>Seasonal reduction (summer)</t>
        </is>
      </c>
    </row>
    <row r="74">
      <c r="A74" s="2" t="inlineStr">
        <is>
          <t>TOTAL</t>
        </is>
      </c>
      <c r="B74" s="2" t="inlineStr"/>
      <c r="C74" s="3">
        <f>SUM(C2:C73)</f>
        <v/>
      </c>
      <c r="D74" s="3">
        <f>AVERAGE(D2:D73)</f>
        <v/>
      </c>
      <c r="E74" s="3">
        <f>AVERAGE(E2:E73)</f>
        <v/>
      </c>
      <c r="F74" s="3">
        <f>AVERAGE(F2:F73)</f>
        <v/>
      </c>
      <c r="G74" s="3">
        <f>AVERAGE(G2:G73)</f>
        <v/>
      </c>
      <c r="H74" s="3">
        <f>AVERAGE(H2:H73)</f>
        <v/>
      </c>
      <c r="I74" s="3">
        <f>AVERAGE(I2:I73)</f>
        <v/>
      </c>
      <c r="J74" s="3">
        <f>AVERAGE(J2:J73)</f>
        <v/>
      </c>
      <c r="K74" s="3">
        <f>AVERAGE(K2:K73)</f>
        <v/>
      </c>
      <c r="L74" s="3">
        <f>AVERAGE(L2:L73)</f>
        <v/>
      </c>
      <c r="M74" s="3">
        <f>AVERAGE(M2:M73)</f>
        <v/>
      </c>
      <c r="N74" s="3">
        <f>AVERAGE(N2:N73)</f>
        <v/>
      </c>
      <c r="O74" s="3">
        <f>AVERAGE(O2:O73)</f>
        <v/>
      </c>
      <c r="P74" s="3">
        <f>AVERAGE(P2:P73)</f>
        <v/>
      </c>
      <c r="Q74" s="3">
        <f>AVERAGE(Q2:Q73)</f>
        <v/>
      </c>
      <c r="R74" s="3">
        <f>AVERAGE(R2:R73)</f>
        <v/>
      </c>
      <c r="S74" s="2" t="inlineStr"/>
      <c r="T74" s="2" t="inlineStr"/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4" t="n"/>
      <c r="T75" s="4" t="n"/>
    </row>
    <row r="76">
      <c r="A76" s="2" t="n"/>
      <c r="B76" s="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2" t="n"/>
      <c r="T76" s="2" t="n"/>
    </row>
    <row r="77">
      <c r="A77" s="4" t="n"/>
      <c r="B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4" t="n"/>
      <c r="T77" s="4" t="n"/>
    </row>
    <row r="78">
      <c r="A78" s="2" t="n"/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2" t="n"/>
      <c r="T78" s="2" t="n"/>
    </row>
    <row r="79">
      <c r="A79" s="4" t="n"/>
      <c r="B79" s="4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4" t="n"/>
      <c r="T79" s="4" t="n"/>
    </row>
    <row r="80">
      <c r="A80" s="2" t="n"/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2" t="n"/>
      <c r="T80" s="2" t="n"/>
    </row>
    <row r="81">
      <c r="A81" s="4" t="n"/>
      <c r="B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4" t="n"/>
      <c r="T81" s="4" t="n"/>
    </row>
    <row r="82">
      <c r="A82" s="2" t="n"/>
      <c r="B82" s="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2" t="n"/>
      <c r="T82" s="2" t="n"/>
    </row>
    <row r="83">
      <c r="A83" s="4" t="n"/>
      <c r="B83" s="4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4" t="n"/>
      <c r="T83" s="4" t="n"/>
    </row>
    <row r="84">
      <c r="A84" s="2" t="n"/>
      <c r="B84" s="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2" t="n"/>
      <c r="T84" s="2" t="n"/>
    </row>
    <row r="85">
      <c r="A85" s="4" t="n"/>
      <c r="B85" s="4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4" t="n"/>
      <c r="T85" s="4" t="n"/>
    </row>
    <row r="86">
      <c r="A86" s="2" t="n"/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2" t="n"/>
      <c r="T86" s="2" t="n"/>
    </row>
    <row r="87">
      <c r="A87" s="4" t="n"/>
      <c r="B87" s="4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4" t="n"/>
      <c r="T87" s="4" t="n"/>
    </row>
    <row r="88">
      <c r="A88" s="2" t="n"/>
      <c r="B88" s="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2" t="n"/>
      <c r="T88" s="2" t="n"/>
    </row>
    <row r="89">
      <c r="A89" s="4" t="n"/>
      <c r="B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4" t="n"/>
      <c r="T89" s="4" t="n"/>
    </row>
    <row r="90">
      <c r="A90" s="2" t="n"/>
      <c r="B90" s="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2" t="n"/>
      <c r="T90" s="2" t="n"/>
    </row>
    <row r="91">
      <c r="A91" s="4" t="n"/>
      <c r="B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4" t="n"/>
      <c r="T91" s="4" t="n"/>
    </row>
    <row r="92">
      <c r="A92" s="2" t="n"/>
      <c r="B92" s="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2" t="n"/>
      <c r="T92" s="2" t="n"/>
    </row>
    <row r="93">
      <c r="A93" s="4" t="n"/>
      <c r="B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4" t="n"/>
      <c r="T93" s="4" t="n"/>
    </row>
    <row r="94">
      <c r="A94" s="2" t="n"/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2" t="n"/>
      <c r="T94" s="2" t="n"/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4" t="n"/>
      <c r="T95" s="4" t="n"/>
    </row>
    <row r="96">
      <c r="A96" s="2" t="n"/>
      <c r="B96" s="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2" t="n"/>
      <c r="T96" s="2" t="n"/>
    </row>
    <row r="97">
      <c r="A97" s="4" t="n"/>
      <c r="B97" s="4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4" t="n"/>
      <c r="T97" s="4" t="n"/>
    </row>
    <row r="98">
      <c r="A98" s="2" t="n"/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2" t="n"/>
      <c r="T98" s="2" t="n"/>
    </row>
    <row r="99">
      <c r="A99" s="4" t="n"/>
      <c r="B99" s="4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4" t="n"/>
      <c r="T99" s="4" t="n"/>
    </row>
    <row r="100">
      <c r="A100" s="2" t="n"/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2" t="n"/>
      <c r="T100" s="2" t="n"/>
    </row>
    <row r="101">
      <c r="A101" s="4" t="n"/>
      <c r="B101" s="4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4" t="n"/>
      <c r="T101" s="4" t="n"/>
    </row>
    <row r="102">
      <c r="A102" s="2" t="n"/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2" t="n"/>
      <c r="T102" s="2" t="n"/>
    </row>
    <row r="103">
      <c r="A103" s="4" t="n"/>
      <c r="B103" s="4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4" t="n"/>
      <c r="T103" s="4" t="n"/>
    </row>
    <row r="104">
      <c r="A104" s="2" t="n"/>
      <c r="B104" s="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2" t="n"/>
      <c r="T104" s="2" t="n"/>
    </row>
    <row r="105">
      <c r="A105" s="4" t="n"/>
      <c r="B105" s="4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4" t="n"/>
      <c r="T105" s="4" t="n"/>
    </row>
    <row r="106">
      <c r="A106" s="2" t="n"/>
      <c r="B106" s="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2" t="n"/>
      <c r="T106" s="2" t="n"/>
    </row>
    <row r="107">
      <c r="A107" s="4" t="n"/>
      <c r="B107" s="4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4" t="n"/>
      <c r="T107" s="4" t="n"/>
    </row>
    <row r="108">
      <c r="A108" s="2" t="n"/>
      <c r="B108" s="2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2" t="n"/>
      <c r="T108" s="2" t="n"/>
    </row>
    <row r="109">
      <c r="A109" s="4" t="n"/>
      <c r="B109" s="4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4" t="n"/>
      <c r="T109" s="4" t="n"/>
    </row>
    <row r="110">
      <c r="A110" s="2" t="n"/>
      <c r="B110" s="2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2" t="n"/>
      <c r="T110" s="2" t="n"/>
    </row>
    <row r="111">
      <c r="A111" s="4" t="n"/>
      <c r="B111" s="4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4" t="n"/>
      <c r="T111" s="4" t="n"/>
    </row>
    <row r="112">
      <c r="A112" s="2" t="n"/>
      <c r="B112" s="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2" t="n"/>
      <c r="T112" s="2" t="n"/>
    </row>
    <row r="113">
      <c r="A113" s="4" t="n"/>
      <c r="B113" s="4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4" t="n"/>
      <c r="T113" s="4" t="n"/>
    </row>
    <row r="114">
      <c r="A114" s="2" t="n"/>
      <c r="B114" s="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2" t="n"/>
      <c r="T114" s="2" t="n"/>
    </row>
    <row r="115">
      <c r="A115" s="4" t="n"/>
      <c r="B115" s="4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4" t="n"/>
      <c r="T115" s="4" t="n"/>
    </row>
    <row r="116">
      <c r="A116" s="2" t="n"/>
      <c r="B116" s="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2" t="n"/>
      <c r="T116" s="2" t="n"/>
    </row>
    <row r="117">
      <c r="A117" s="4" t="n"/>
      <c r="B117" s="4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4" t="n"/>
      <c r="T117" s="4" t="n"/>
    </row>
    <row r="118">
      <c r="A118" s="2" t="n"/>
      <c r="B118" s="2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2" t="n"/>
      <c r="T118" s="2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4" t="n"/>
      <c r="T119" s="4" t="n"/>
    </row>
    <row r="120">
      <c r="A120" s="2" t="n"/>
      <c r="B120" s="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2" t="n"/>
      <c r="T120" s="2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4" t="n"/>
      <c r="T121" s="4" t="n"/>
    </row>
    <row r="122">
      <c r="A122" s="2" t="n"/>
      <c r="B122" s="2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2" t="n"/>
      <c r="T122" s="2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4" t="n"/>
      <c r="T123" s="4" t="n"/>
    </row>
    <row r="124">
      <c r="A124" s="2" t="n"/>
      <c r="B124" s="2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2" t="n"/>
      <c r="T124" s="2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4" t="n"/>
      <c r="T125" s="4" t="n"/>
    </row>
    <row r="126">
      <c r="A126" s="2" t="n"/>
      <c r="B126" s="2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2" t="n"/>
      <c r="T126" s="2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4" t="n"/>
      <c r="T127" s="4" t="n"/>
    </row>
    <row r="128">
      <c r="A128" s="2" t="n"/>
      <c r="B128" s="2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2" t="n"/>
      <c r="T128" s="2" t="n"/>
    </row>
    <row r="129">
      <c r="A129" s="4" t="n"/>
      <c r="B129" s="4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4" t="n"/>
      <c r="T129" s="4" t="n"/>
    </row>
    <row r="130">
      <c r="A130" s="2" t="n"/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2" t="n"/>
      <c r="T130" s="2" t="n"/>
    </row>
    <row r="131">
      <c r="A131" s="4" t="n"/>
      <c r="B131" s="4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4" t="n"/>
      <c r="T131" s="4" t="n"/>
    </row>
    <row r="132">
      <c r="A132" s="2" t="n"/>
      <c r="B132" s="2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2" t="n"/>
      <c r="T132" s="2" t="n"/>
    </row>
    <row r="133">
      <c r="A133" s="4" t="n"/>
      <c r="B133" s="4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4" t="n"/>
      <c r="T133" s="4" t="n"/>
    </row>
    <row r="134">
      <c r="A134" s="2" t="n"/>
      <c r="B134" s="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2" t="n"/>
      <c r="T134" s="2" t="n"/>
    </row>
    <row r="135">
      <c r="A135" s="4" t="n"/>
      <c r="B135" s="4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4" t="n"/>
      <c r="T135" s="4" t="n"/>
    </row>
    <row r="136">
      <c r="A136" s="2" t="n"/>
      <c r="B136" s="2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2" t="n"/>
      <c r="T136" s="2" t="n"/>
    </row>
    <row r="137">
      <c r="A137" s="4" t="n"/>
      <c r="B137" s="4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4" t="n"/>
      <c r="T137" s="4" t="n"/>
    </row>
    <row r="138">
      <c r="A138" s="2" t="n"/>
      <c r="B138" s="2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2" t="n"/>
      <c r="T138" s="2" t="n"/>
    </row>
    <row r="139">
      <c r="A139" s="4" t="n"/>
      <c r="B139" s="4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4" t="n"/>
      <c r="T139" s="4" t="n"/>
    </row>
    <row r="140">
      <c r="A140" s="2" t="n"/>
      <c r="B140" s="2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2" t="n"/>
      <c r="T140" s="2" t="n"/>
    </row>
    <row r="141">
      <c r="A141" s="4" t="n"/>
      <c r="B141" s="4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4" t="n"/>
      <c r="T141" s="4" t="n"/>
    </row>
    <row r="142">
      <c r="A142" s="2" t="n"/>
      <c r="B142" s="2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2" t="n"/>
      <c r="T142" s="2" t="n"/>
    </row>
    <row r="143">
      <c r="A143" s="4" t="n"/>
      <c r="B143" s="4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4" t="n"/>
      <c r="T143" s="4" t="n"/>
    </row>
    <row r="144">
      <c r="A144" s="2" t="n"/>
      <c r="B144" s="2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2" t="n"/>
      <c r="T144" s="2" t="n"/>
    </row>
    <row r="145">
      <c r="A145" s="4" t="n"/>
      <c r="B145" s="4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4" t="n"/>
      <c r="T14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35" customWidth="1" min="20" max="20"/>
  </cols>
  <sheetData>
    <row r="1">
      <c r="A1" s="1" t="inlineStr">
        <is>
          <t>Creative ID</t>
        </is>
      </c>
      <c r="B1" s="1" t="inlineStr">
        <is>
          <t>Creative Name</t>
        </is>
      </c>
      <c r="C1" s="1" t="inlineStr">
        <is>
          <t>Channel</t>
        </is>
      </c>
      <c r="D1" s="1" t="inlineStr">
        <is>
          <t>Format</t>
        </is>
      </c>
      <c r="E1" s="1" t="inlineStr">
        <is>
          <t>Theme</t>
        </is>
      </c>
      <c r="F1" s="1" t="inlineStr">
        <is>
          <t>Quarter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Target Persona</t>
        </is>
      </c>
      <c r="J1" s="1" t="inlineStr">
        <is>
          <t>Spend (CHF)</t>
        </is>
      </c>
      <c r="K1" s="1" t="inlineStr">
        <is>
          <t>Impressions</t>
        </is>
      </c>
      <c r="L1" s="1" t="inlineStr">
        <is>
          <t>CTR (%)</t>
        </is>
      </c>
      <c r="M1" s="1" t="inlineStr">
        <is>
          <t>Conversions</t>
        </is>
      </c>
      <c r="N1" s="1" t="inlineStr">
        <is>
          <t>CVR (%)</t>
        </is>
      </c>
      <c r="O1" s="1" t="inlineStr">
        <is>
          <t>ROAS</t>
        </is>
      </c>
      <c r="P1" s="1" t="inlineStr">
        <is>
          <t>CPA (CHF)</t>
        </is>
      </c>
      <c r="Q1" s="1" t="inlineStr">
        <is>
          <t>Frequency at Pause</t>
        </is>
      </c>
      <c r="R1" s="1" t="inlineStr">
        <is>
          <t>Reason Paused</t>
        </is>
      </c>
      <c r="S1" s="1" t="inlineStr">
        <is>
          <t>Winner (Y/N)</t>
        </is>
      </c>
      <c r="T1" s="1" t="inlineStr">
        <is>
          <t>Key Learning</t>
        </is>
      </c>
    </row>
    <row r="2">
      <c r="A2" s="2" t="inlineStr">
        <is>
          <t>CRE_001</t>
        </is>
      </c>
      <c r="B2" s="2" t="inlineStr">
        <is>
          <t>Creative_1</t>
        </is>
      </c>
      <c r="C2" s="2" t="inlineStr">
        <is>
          <t>YouTube</t>
        </is>
      </c>
      <c r="D2" s="2" t="inlineStr">
        <is>
          <t>Carousel</t>
        </is>
      </c>
      <c r="E2" s="2" t="inlineStr">
        <is>
          <t>Promotional</t>
        </is>
      </c>
      <c r="F2" s="2" t="n">
        <v>1</v>
      </c>
      <c r="G2" s="2" t="inlineStr">
        <is>
          <t>2024-03-12</t>
        </is>
      </c>
      <c r="H2" s="2" t="inlineStr">
        <is>
          <t>2024-03-19</t>
        </is>
      </c>
      <c r="I2" s="2" t="inlineStr">
        <is>
          <t>Health-Conscious Professional</t>
        </is>
      </c>
      <c r="J2" s="3">
        <f>4731.94</f>
        <v/>
      </c>
      <c r="K2" s="3" t="n">
        <v>90317</v>
      </c>
      <c r="L2" s="3">
        <f>ROUND(2.8157738685570637,2)</f>
        <v/>
      </c>
      <c r="M2" s="3" t="n">
        <v>266</v>
      </c>
      <c r="N2" s="3">
        <f>ROUND(10.460086511993708,2)</f>
        <v/>
      </c>
      <c r="O2" s="3">
        <f>ROUND(3.9502524493583326,2)</f>
        <v/>
      </c>
      <c r="P2" s="3">
        <f>IF(M2&gt;0,ROUND(J2/M2,2),999)</f>
        <v/>
      </c>
      <c r="Q2" s="3">
        <f>ROUND(2.3,2)</f>
        <v/>
      </c>
      <c r="R2" s="2" t="inlineStr">
        <is>
          <t>Inventory Issue</t>
        </is>
      </c>
      <c r="S2" s="2" t="inlineStr">
        <is>
          <t>Y</t>
        </is>
      </c>
      <c r="T2" s="2" t="inlineStr">
        <is>
          <t>Mobile-first design improves CTR by 12%</t>
        </is>
      </c>
    </row>
    <row r="3">
      <c r="A3" s="4" t="inlineStr">
        <is>
          <t>CRE_002</t>
        </is>
      </c>
      <c r="B3" s="4" t="inlineStr">
        <is>
          <t>Creative_2</t>
        </is>
      </c>
      <c r="C3" s="4" t="inlineStr">
        <is>
          <t>Google Search</t>
        </is>
      </c>
      <c r="D3" s="4" t="inlineStr">
        <is>
          <t>Story</t>
        </is>
      </c>
      <c r="E3" s="4" t="inlineStr">
        <is>
          <t>Lifestyle</t>
        </is>
      </c>
      <c r="F3" s="4" t="n">
        <v>1</v>
      </c>
      <c r="G3" s="4" t="inlineStr">
        <is>
          <t>2024-03-27</t>
        </is>
      </c>
      <c r="H3" s="4" t="inlineStr">
        <is>
          <t>2024-04-28</t>
        </is>
      </c>
      <c r="I3" s="4" t="inlineStr">
        <is>
          <t>Fitness Enthusiast</t>
        </is>
      </c>
      <c r="J3" s="5">
        <f>4069.43</f>
        <v/>
      </c>
      <c r="K3" s="5" t="n">
        <v>40949</v>
      </c>
      <c r="L3" s="5">
        <f>ROUND(1.8210668837563047,2)</f>
        <v/>
      </c>
      <c r="M3" s="5" t="n">
        <v>74</v>
      </c>
      <c r="N3" s="5">
        <f>ROUND(9.93288590604027,2)</f>
        <v/>
      </c>
      <c r="O3" s="5">
        <f>ROUND(3.8691647769207975,2)</f>
        <v/>
      </c>
      <c r="P3" s="5">
        <f>IF(M3&gt;0,ROUND(J3/M3,2),999)</f>
        <v/>
      </c>
      <c r="Q3" s="5">
        <f>ROUND(2.06,2)</f>
        <v/>
      </c>
      <c r="R3" s="4" t="inlineStr">
        <is>
          <t>Fatigue</t>
        </is>
      </c>
      <c r="S3" s="4" t="inlineStr">
        <is>
          <t>N</t>
        </is>
      </c>
      <c r="T3" s="4" t="inlineStr">
        <is>
          <t>UGC content outperforms staged product photography by 18%</t>
        </is>
      </c>
    </row>
    <row r="4">
      <c r="A4" s="2" t="inlineStr">
        <is>
          <t>CRE_003</t>
        </is>
      </c>
      <c r="B4" s="2" t="inlineStr">
        <is>
          <t>Creative_3</t>
        </is>
      </c>
      <c r="C4" s="2" t="inlineStr">
        <is>
          <t>Google Shopping</t>
        </is>
      </c>
      <c r="D4" s="2" t="inlineStr">
        <is>
          <t>Image</t>
        </is>
      </c>
      <c r="E4" s="2" t="inlineStr">
        <is>
          <t>Seasonal</t>
        </is>
      </c>
      <c r="F4" s="2" t="n">
        <v>1</v>
      </c>
      <c r="G4" s="2" t="inlineStr">
        <is>
          <t>2024-02-07</t>
        </is>
      </c>
      <c r="H4" s="2" t="inlineStr">
        <is>
          <t>2024-02-19</t>
        </is>
      </c>
      <c r="I4" s="2" t="inlineStr">
        <is>
          <t>Lapsed Subscriber</t>
        </is>
      </c>
      <c r="J4" s="3">
        <f>1676.27</f>
        <v/>
      </c>
      <c r="K4" s="3" t="n">
        <v>16164</v>
      </c>
      <c r="L4" s="3">
        <f>ROUND(0.7415980005872305,2)</f>
        <v/>
      </c>
      <c r="M4" s="3" t="n">
        <v>6</v>
      </c>
      <c r="N4" s="3">
        <f>ROUND(5.042016806722689,2)</f>
        <v/>
      </c>
      <c r="O4" s="3">
        <f>ROUND(3.844662103276928,2)</f>
        <v/>
      </c>
      <c r="P4" s="3">
        <f>IF(M4&gt;0,ROUND(J4/M4,2),999)</f>
        <v/>
      </c>
      <c r="Q4" s="3">
        <f>ROUND(3.48,2)</f>
        <v/>
      </c>
      <c r="R4" s="2" t="inlineStr">
        <is>
          <t>Seasonal</t>
        </is>
      </c>
      <c r="S4" s="2" t="inlineStr">
        <is>
          <t>N</t>
        </is>
      </c>
      <c r="T4" s="2" t="inlineStr">
        <is>
          <t>Video format shows 2.3x higher CVR than static images</t>
        </is>
      </c>
    </row>
    <row r="5">
      <c r="A5" s="4" t="inlineStr">
        <is>
          <t>CRE_004</t>
        </is>
      </c>
      <c r="B5" s="4" t="inlineStr">
        <is>
          <t>Creative_4</t>
        </is>
      </c>
      <c r="C5" s="4" t="inlineStr">
        <is>
          <t>TikTok</t>
        </is>
      </c>
      <c r="D5" s="4" t="inlineStr">
        <is>
          <t>Video</t>
        </is>
      </c>
      <c r="E5" s="4" t="inlineStr">
        <is>
          <t>Educational</t>
        </is>
      </c>
      <c r="F5" s="4" t="n">
        <v>1</v>
      </c>
      <c r="G5" s="4" t="inlineStr">
        <is>
          <t>2024-02-08</t>
        </is>
      </c>
      <c r="H5" s="4" t="inlineStr">
        <is>
          <t>2024-02-14</t>
        </is>
      </c>
      <c r="I5" s="4" t="inlineStr">
        <is>
          <t>Lapsed Subscriber</t>
        </is>
      </c>
      <c r="J5" s="5">
        <f>3255.86</f>
        <v/>
      </c>
      <c r="K5" s="5" t="n">
        <v>41844</v>
      </c>
      <c r="L5" s="5">
        <f>ROUND(4.181556367869522,2)</f>
        <v/>
      </c>
      <c r="M5" s="5" t="n">
        <v>202</v>
      </c>
      <c r="N5" s="5">
        <f>ROUND(11.5494568324757,2)</f>
        <v/>
      </c>
      <c r="O5" s="5">
        <f>ROUND(3.679358571715574,2)</f>
        <v/>
      </c>
      <c r="P5" s="5">
        <f>IF(M5&gt;0,ROUND(J5/M5,2),999)</f>
        <v/>
      </c>
      <c r="Q5" s="5">
        <f>ROUND(2.7,2)</f>
        <v/>
      </c>
      <c r="R5" s="4" t="inlineStr">
        <is>
          <t>Seasonal</t>
        </is>
      </c>
      <c r="S5" s="4" t="inlineStr">
        <is>
          <t>Y</t>
        </is>
      </c>
      <c r="T5" s="4" t="inlineStr">
        <is>
          <t>Mobile-first design improves CTR by 12%</t>
        </is>
      </c>
    </row>
    <row r="6">
      <c r="A6" s="2" t="inlineStr">
        <is>
          <t>CRE_005</t>
        </is>
      </c>
      <c r="B6" s="2" t="inlineStr">
        <is>
          <t>Creative_5</t>
        </is>
      </c>
      <c r="C6" s="2" t="inlineStr">
        <is>
          <t>Google Search</t>
        </is>
      </c>
      <c r="D6" s="2" t="inlineStr">
        <is>
          <t>Story</t>
        </is>
      </c>
      <c r="E6" s="2" t="inlineStr">
        <is>
          <t>Promotional</t>
        </is>
      </c>
      <c r="F6" s="2" t="n">
        <v>1</v>
      </c>
      <c r="G6" s="2" t="inlineStr">
        <is>
          <t>2024-02-21</t>
        </is>
      </c>
      <c r="H6" s="2" t="inlineStr">
        <is>
          <t>2024-02-05</t>
        </is>
      </c>
      <c r="I6" s="2" t="inlineStr">
        <is>
          <t>Gift Purchaser</t>
        </is>
      </c>
      <c r="J6" s="3">
        <f>1219.18</f>
        <v/>
      </c>
      <c r="K6" s="3" t="n">
        <v>11314</v>
      </c>
      <c r="L6" s="3">
        <f>ROUND(4.0343812761285225,2)</f>
        <v/>
      </c>
      <c r="M6" s="3" t="n">
        <v>46</v>
      </c>
      <c r="N6" s="3">
        <f>ROUND(10.087719298245613,2)</f>
        <v/>
      </c>
      <c r="O6" s="3">
        <f>ROUND(1.8593184495428412,2)</f>
        <v/>
      </c>
      <c r="P6" s="3">
        <f>IF(M6&gt;0,ROUND(J6/M6,2),999)</f>
        <v/>
      </c>
      <c r="Q6" s="3">
        <f>ROUND(2.12,2)</f>
        <v/>
      </c>
      <c r="R6" s="2" t="inlineStr">
        <is>
          <t>Budget</t>
        </is>
      </c>
      <c r="S6" s="2" t="inlineStr">
        <is>
          <t>N</t>
        </is>
      </c>
      <c r="T6" s="2" t="inlineStr">
        <is>
          <t>Video format shows 2.3x higher CVR than static images</t>
        </is>
      </c>
    </row>
    <row r="7">
      <c r="A7" s="4" t="inlineStr">
        <is>
          <t>CRE_006</t>
        </is>
      </c>
      <c r="B7" s="4" t="inlineStr">
        <is>
          <t>Creative_6</t>
        </is>
      </c>
      <c r="C7" s="4" t="inlineStr">
        <is>
          <t>Google Search</t>
        </is>
      </c>
      <c r="D7" s="4" t="inlineStr">
        <is>
          <t>Carousel</t>
        </is>
      </c>
      <c r="E7" s="4" t="inlineStr">
        <is>
          <t>Educational</t>
        </is>
      </c>
      <c r="F7" s="4" t="n">
        <v>2</v>
      </c>
      <c r="G7" s="4" t="inlineStr">
        <is>
          <t>2024-05-05</t>
        </is>
      </c>
      <c r="H7" s="4" t="inlineStr">
        <is>
          <t>2024-05-25</t>
        </is>
      </c>
      <c r="I7" s="4" t="inlineStr">
        <is>
          <t>Eco-Minded Family</t>
        </is>
      </c>
      <c r="J7" s="5">
        <f>1255.14</f>
        <v/>
      </c>
      <c r="K7" s="5" t="n">
        <v>13873</v>
      </c>
      <c r="L7" s="5">
        <f>ROUND(3.9344130171551064,2)</f>
        <v/>
      </c>
      <c r="M7" s="5" t="n">
        <v>22</v>
      </c>
      <c r="N7" s="5">
        <f>ROUND(4.036697247706423,2)</f>
        <v/>
      </c>
      <c r="O7" s="5">
        <f>ROUND(3.9367734108789003,2)</f>
        <v/>
      </c>
      <c r="P7" s="5">
        <f>IF(M7&gt;0,ROUND(J7/M7,2),999)</f>
        <v/>
      </c>
      <c r="Q7" s="5">
        <f>ROUND(3.04,2)</f>
        <v/>
      </c>
      <c r="R7" s="4" t="inlineStr">
        <is>
          <t>CAC Increase</t>
        </is>
      </c>
      <c r="S7" s="4" t="inlineStr">
        <is>
          <t>N</t>
        </is>
      </c>
      <c r="T7" s="4" t="inlineStr">
        <is>
          <t>Gift messaging increases AOV by 15% in Q4</t>
        </is>
      </c>
    </row>
    <row r="8">
      <c r="A8" s="2" t="inlineStr">
        <is>
          <t>CRE_007</t>
        </is>
      </c>
      <c r="B8" s="2" t="inlineStr">
        <is>
          <t>Creative_7</t>
        </is>
      </c>
      <c r="C8" s="2" t="inlineStr">
        <is>
          <t>YouTube</t>
        </is>
      </c>
      <c r="D8" s="2" t="inlineStr">
        <is>
          <t>Carousel</t>
        </is>
      </c>
      <c r="E8" s="2" t="inlineStr">
        <is>
          <t>Promotional</t>
        </is>
      </c>
      <c r="F8" s="2" t="n">
        <v>2</v>
      </c>
      <c r="G8" s="2" t="inlineStr">
        <is>
          <t>2024-06-27</t>
        </is>
      </c>
      <c r="H8" s="2" t="inlineStr">
        <is>
          <t>2024-06-07</t>
        </is>
      </c>
      <c r="I8" s="2" t="inlineStr">
        <is>
          <t>Lapsed Subscriber</t>
        </is>
      </c>
      <c r="J8" s="3">
        <f>3296.24</f>
        <v/>
      </c>
      <c r="K8" s="3" t="n">
        <v>29458</v>
      </c>
      <c r="L8" s="3">
        <f>ROUND(3.8511203265804843,2)</f>
        <v/>
      </c>
      <c r="M8" s="3" t="n">
        <v>97</v>
      </c>
      <c r="N8" s="3">
        <f>ROUND(8.55379188712522,2)</f>
        <v/>
      </c>
      <c r="O8" s="3">
        <f>ROUND(2.521970557755889,2)</f>
        <v/>
      </c>
      <c r="P8" s="3">
        <f>IF(M8&gt;0,ROUND(J8/M8,2),999)</f>
        <v/>
      </c>
      <c r="Q8" s="3">
        <f>ROUND(1.22,2)</f>
        <v/>
      </c>
      <c r="R8" s="2" t="inlineStr">
        <is>
          <t>Budget</t>
        </is>
      </c>
      <c r="S8" s="2" t="inlineStr">
        <is>
          <t>N</t>
        </is>
      </c>
      <c r="T8" s="2" t="inlineStr">
        <is>
          <t>Educational content (nutrition tips) builds longer-term retention</t>
        </is>
      </c>
    </row>
    <row r="9">
      <c r="A9" s="4" t="inlineStr">
        <is>
          <t>CRE_008</t>
        </is>
      </c>
      <c r="B9" s="4" t="inlineStr">
        <is>
          <t>Creative_8</t>
        </is>
      </c>
      <c r="C9" s="4" t="inlineStr">
        <is>
          <t>YouTube</t>
        </is>
      </c>
      <c r="D9" s="4" t="inlineStr">
        <is>
          <t>Video</t>
        </is>
      </c>
      <c r="E9" s="4" t="inlineStr">
        <is>
          <t>Seasonal</t>
        </is>
      </c>
      <c r="F9" s="4" t="n">
        <v>2</v>
      </c>
      <c r="G9" s="4" t="inlineStr">
        <is>
          <t>2024-05-22</t>
        </is>
      </c>
      <c r="H9" s="4" t="inlineStr">
        <is>
          <t>2024-06-10</t>
        </is>
      </c>
      <c r="I9" s="4" t="inlineStr">
        <is>
          <t>Eco-Minded Family</t>
        </is>
      </c>
      <c r="J9" s="5">
        <f>3706.76</f>
        <v/>
      </c>
      <c r="K9" s="5" t="n">
        <v>46491</v>
      </c>
      <c r="L9" s="5">
        <f>ROUND(1.0450206802135185,2)</f>
        <v/>
      </c>
      <c r="M9" s="5" t="n">
        <v>22</v>
      </c>
      <c r="N9" s="5">
        <f>ROUND(4.536082474226804,2)</f>
        <v/>
      </c>
      <c r="O9" s="5">
        <f>ROUND(2.9746467299315276,2)</f>
        <v/>
      </c>
      <c r="P9" s="5">
        <f>IF(M9&gt;0,ROUND(J9/M9,2),999)</f>
        <v/>
      </c>
      <c r="Q9" s="5">
        <f>ROUND(3.02,2)</f>
        <v/>
      </c>
      <c r="R9" s="4" t="inlineStr">
        <is>
          <t>Inventory Issue</t>
        </is>
      </c>
      <c r="S9" s="4" t="inlineStr">
        <is>
          <t>N</t>
        </is>
      </c>
      <c r="T9" s="4" t="inlineStr">
        <is>
          <t>Price-focused messaging performs worse with affluent segments</t>
        </is>
      </c>
    </row>
    <row r="10">
      <c r="A10" s="2" t="inlineStr">
        <is>
          <t>CRE_009</t>
        </is>
      </c>
      <c r="B10" s="2" t="inlineStr">
        <is>
          <t>Creative_9</t>
        </is>
      </c>
      <c r="C10" s="2" t="inlineStr">
        <is>
          <t>Google Search</t>
        </is>
      </c>
      <c r="D10" s="2" t="inlineStr">
        <is>
          <t>Image</t>
        </is>
      </c>
      <c r="E10" s="2" t="inlineStr">
        <is>
          <t>UGC</t>
        </is>
      </c>
      <c r="F10" s="2" t="n">
        <v>2</v>
      </c>
      <c r="G10" s="2" t="inlineStr">
        <is>
          <t>2024-06-06</t>
        </is>
      </c>
      <c r="H10" s="2" t="inlineStr">
        <is>
          <t>2024-07-08</t>
        </is>
      </c>
      <c r="I10" s="2" t="inlineStr">
        <is>
          <t>Health-Conscious Professional</t>
        </is>
      </c>
      <c r="J10" s="3">
        <f>1315.20</f>
        <v/>
      </c>
      <c r="K10" s="3" t="n">
        <v>25379</v>
      </c>
      <c r="L10" s="3">
        <f>ROUND(3.9995026733796686,2)</f>
        <v/>
      </c>
      <c r="M10" s="3" t="n">
        <v>69</v>
      </c>
      <c r="N10" s="3">
        <f>ROUND(6.798029556650246,2)</f>
        <v/>
      </c>
      <c r="O10" s="3">
        <f>ROUND(3.5616960052489937,2)</f>
        <v/>
      </c>
      <c r="P10" s="3">
        <f>IF(M10&gt;0,ROUND(J10/M10,2),999)</f>
        <v/>
      </c>
      <c r="Q10" s="3">
        <f>ROUND(2.98,2)</f>
        <v/>
      </c>
      <c r="R10" s="2" t="inlineStr">
        <is>
          <t>Budget</t>
        </is>
      </c>
      <c r="S10" s="2" t="inlineStr">
        <is>
          <t>Y</t>
        </is>
      </c>
      <c r="T10" s="2" t="inlineStr">
        <is>
          <t>Seasonal box creative timed to holidays drives pre-orders</t>
        </is>
      </c>
    </row>
    <row r="11">
      <c r="A11" s="4" t="inlineStr">
        <is>
          <t>CRE_010</t>
        </is>
      </c>
      <c r="B11" s="4" t="inlineStr">
        <is>
          <t>Creative_10</t>
        </is>
      </c>
      <c r="C11" s="4" t="inlineStr">
        <is>
          <t>YouTube</t>
        </is>
      </c>
      <c r="D11" s="4" t="inlineStr">
        <is>
          <t>Reel</t>
        </is>
      </c>
      <c r="E11" s="4" t="inlineStr">
        <is>
          <t>Product</t>
        </is>
      </c>
      <c r="F11" s="4" t="n">
        <v>2</v>
      </c>
      <c r="G11" s="4" t="inlineStr">
        <is>
          <t>2024-04-20</t>
        </is>
      </c>
      <c r="H11" s="4" t="inlineStr">
        <is>
          <t>2024-04-28</t>
        </is>
      </c>
      <c r="I11" s="4" t="inlineStr">
        <is>
          <t>Fitness Enthusiast</t>
        </is>
      </c>
      <c r="J11" s="5">
        <f>4925.05</f>
        <v/>
      </c>
      <c r="K11" s="5" t="n">
        <v>56571</v>
      </c>
      <c r="L11" s="5">
        <f>ROUND(3.4427082998314154,2)</f>
        <v/>
      </c>
      <c r="M11" s="5" t="n">
        <v>194</v>
      </c>
      <c r="N11" s="5">
        <f>ROUND(9.964047252182844,2)</f>
        <v/>
      </c>
      <c r="O11" s="5">
        <f>ROUND(1.9763226983783406,2)</f>
        <v/>
      </c>
      <c r="P11" s="5">
        <f>IF(M11&gt;0,ROUND(J11/M11,2),999)</f>
        <v/>
      </c>
      <c r="Q11" s="5">
        <f>ROUND(2.93,2)</f>
        <v/>
      </c>
      <c r="R11" s="4" t="inlineStr">
        <is>
          <t>Winner-Kept</t>
        </is>
      </c>
      <c r="S11" s="4" t="inlineStr">
        <is>
          <t>N</t>
        </is>
      </c>
      <c r="T11" s="4" t="inlineStr">
        <is>
          <t>Seasonal box creative timed to holidays drives pre-orders</t>
        </is>
      </c>
    </row>
    <row r="12">
      <c r="A12" s="2" t="inlineStr">
        <is>
          <t>CRE_011</t>
        </is>
      </c>
      <c r="B12" s="2" t="inlineStr">
        <is>
          <t>Creative_11</t>
        </is>
      </c>
      <c r="C12" s="2" t="inlineStr">
        <is>
          <t>Google Search</t>
        </is>
      </c>
      <c r="D12" s="2" t="inlineStr">
        <is>
          <t>Image</t>
        </is>
      </c>
      <c r="E12" s="2" t="inlineStr">
        <is>
          <t>UGC</t>
        </is>
      </c>
      <c r="F12" s="2" t="n">
        <v>3</v>
      </c>
      <c r="G12" s="2" t="inlineStr">
        <is>
          <t>2024-08-05</t>
        </is>
      </c>
      <c r="H12" s="2" t="inlineStr">
        <is>
          <t>2024-09-26</t>
        </is>
      </c>
      <c r="I12" s="2" t="inlineStr">
        <is>
          <t>Fitness Enthusiast</t>
        </is>
      </c>
      <c r="J12" s="3">
        <f>2876.88</f>
        <v/>
      </c>
      <c r="K12" s="3" t="n">
        <v>27204</v>
      </c>
      <c r="L12" s="3">
        <f>ROUND(1.8128230159559608,2)</f>
        <v/>
      </c>
      <c r="M12" s="3" t="n">
        <v>43</v>
      </c>
      <c r="N12" s="3">
        <f>ROUND(8.72210953346856,2)</f>
        <v/>
      </c>
      <c r="O12" s="3">
        <f>ROUND(2.208251114480641,2)</f>
        <v/>
      </c>
      <c r="P12" s="3">
        <f>IF(M12&gt;0,ROUND(J12/M12,2),999)</f>
        <v/>
      </c>
      <c r="Q12" s="3">
        <f>ROUND(2.09,2)</f>
        <v/>
      </c>
      <c r="R12" s="2" t="inlineStr">
        <is>
          <t>Test-Complete</t>
        </is>
      </c>
      <c r="S12" s="2" t="inlineStr">
        <is>
          <t>N</t>
        </is>
      </c>
      <c r="T12" s="2" t="inlineStr">
        <is>
          <t>Video format shows 2.3x higher CVR than static images</t>
        </is>
      </c>
    </row>
    <row r="13">
      <c r="A13" s="4" t="inlineStr">
        <is>
          <t>CRE_012</t>
        </is>
      </c>
      <c r="B13" s="4" t="inlineStr">
        <is>
          <t>Creative_12</t>
        </is>
      </c>
      <c r="C13" s="4" t="inlineStr">
        <is>
          <t>Google Search</t>
        </is>
      </c>
      <c r="D13" s="4" t="inlineStr">
        <is>
          <t>Image</t>
        </is>
      </c>
      <c r="E13" s="4" t="inlineStr">
        <is>
          <t>Lifestyle</t>
        </is>
      </c>
      <c r="F13" s="4" t="n">
        <v>3</v>
      </c>
      <c r="G13" s="4" t="inlineStr">
        <is>
          <t>2024-07-12</t>
        </is>
      </c>
      <c r="H13" s="4" t="inlineStr">
        <is>
          <t>2024-08-16</t>
        </is>
      </c>
      <c r="I13" s="4" t="inlineStr">
        <is>
          <t>Gift Purchaser</t>
        </is>
      </c>
      <c r="J13" s="5">
        <f>1381.75</f>
        <v/>
      </c>
      <c r="K13" s="5" t="n">
        <v>18778</v>
      </c>
      <c r="L13" s="5">
        <f>ROUND(1.1390745565610025,2)</f>
        <v/>
      </c>
      <c r="M13" s="5" t="n">
        <v>13</v>
      </c>
      <c r="N13" s="5">
        <f>ROUND(6.103286384976526,2)</f>
        <v/>
      </c>
      <c r="O13" s="5">
        <f>ROUND(5.283198404923744,2)</f>
        <v/>
      </c>
      <c r="P13" s="5">
        <f>IF(M13&gt;0,ROUND(J13/M13,2),999)</f>
        <v/>
      </c>
      <c r="Q13" s="5">
        <f>ROUND(1.52,2)</f>
        <v/>
      </c>
      <c r="R13" s="4" t="inlineStr">
        <is>
          <t>Budget</t>
        </is>
      </c>
      <c r="S13" s="4" t="inlineStr">
        <is>
          <t>N</t>
        </is>
      </c>
      <c r="T13" s="4" t="inlineStr">
        <is>
          <t>Seasonal box creative timed to holidays drives pre-orders</t>
        </is>
      </c>
    </row>
    <row r="14">
      <c r="A14" s="2" t="inlineStr">
        <is>
          <t>CRE_013</t>
        </is>
      </c>
      <c r="B14" s="2" t="inlineStr">
        <is>
          <t>Creative_13</t>
        </is>
      </c>
      <c r="C14" s="2" t="inlineStr">
        <is>
          <t>Meta</t>
        </is>
      </c>
      <c r="D14" s="2" t="inlineStr">
        <is>
          <t>Reel</t>
        </is>
      </c>
      <c r="E14" s="2" t="inlineStr">
        <is>
          <t>Promotional</t>
        </is>
      </c>
      <c r="F14" s="2" t="n">
        <v>3</v>
      </c>
      <c r="G14" s="2" t="inlineStr">
        <is>
          <t>2024-07-22</t>
        </is>
      </c>
      <c r="H14" s="2" t="inlineStr">
        <is>
          <t>2024-08-19</t>
        </is>
      </c>
      <c r="I14" s="2" t="inlineStr">
        <is>
          <t>Health-Conscious Professional</t>
        </is>
      </c>
      <c r="J14" s="3">
        <f>1755.89</f>
        <v/>
      </c>
      <c r="K14" s="3" t="n">
        <v>34744</v>
      </c>
      <c r="L14" s="3">
        <f>ROUND(2.9200668489437502,2)</f>
        <v/>
      </c>
      <c r="M14" s="3" t="n">
        <v>113</v>
      </c>
      <c r="N14" s="3">
        <f>ROUND(11.143984220907297,2)</f>
        <v/>
      </c>
      <c r="O14" s="3">
        <f>ROUND(4.11155775129262,2)</f>
        <v/>
      </c>
      <c r="P14" s="3">
        <f>IF(M14&gt;0,ROUND(J14/M14,2),999)</f>
        <v/>
      </c>
      <c r="Q14" s="3">
        <f>ROUND(3.04,2)</f>
        <v/>
      </c>
      <c r="R14" s="2" t="inlineStr">
        <is>
          <t>Test-Complete</t>
        </is>
      </c>
      <c r="S14" s="2" t="inlineStr">
        <is>
          <t>Y</t>
        </is>
      </c>
      <c r="T14" s="2" t="inlineStr">
        <is>
          <t>Educational content (nutrition tips) builds longer-term retention</t>
        </is>
      </c>
    </row>
    <row r="15">
      <c r="A15" s="4" t="inlineStr">
        <is>
          <t>CRE_014</t>
        </is>
      </c>
      <c r="B15" s="4" t="inlineStr">
        <is>
          <t>Creative_14</t>
        </is>
      </c>
      <c r="C15" s="4" t="inlineStr">
        <is>
          <t>Meta</t>
        </is>
      </c>
      <c r="D15" s="4" t="inlineStr">
        <is>
          <t>Reel</t>
        </is>
      </c>
      <c r="E15" s="4" t="inlineStr">
        <is>
          <t>UGC</t>
        </is>
      </c>
      <c r="F15" s="4" t="n">
        <v>3</v>
      </c>
      <c r="G15" s="4" t="inlineStr">
        <is>
          <t>2024-09-08</t>
        </is>
      </c>
      <c r="H15" s="4" t="inlineStr">
        <is>
          <t>2024-10-18</t>
        </is>
      </c>
      <c r="I15" s="4" t="inlineStr">
        <is>
          <t>Lapsed Subscriber</t>
        </is>
      </c>
      <c r="J15" s="5">
        <f>4720.11</f>
        <v/>
      </c>
      <c r="K15" s="5" t="n">
        <v>54763</v>
      </c>
      <c r="L15" s="5">
        <f>ROUND(4.149362006630771,2)</f>
        <v/>
      </c>
      <c r="M15" s="5" t="n">
        <v>203</v>
      </c>
      <c r="N15" s="5">
        <f>ROUND(8.934859154929578,2)</f>
        <v/>
      </c>
      <c r="O15" s="5">
        <f>ROUND(3.629647098684021,2)</f>
        <v/>
      </c>
      <c r="P15" s="5">
        <f>IF(M15&gt;0,ROUND(J15/M15,2),999)</f>
        <v/>
      </c>
      <c r="Q15" s="5">
        <f>ROUND(2.56,2)</f>
        <v/>
      </c>
      <c r="R15" s="4" t="inlineStr">
        <is>
          <t>Winner-Kept</t>
        </is>
      </c>
      <c r="S15" s="4" t="inlineStr">
        <is>
          <t>Y</t>
        </is>
      </c>
      <c r="T15" s="4" t="inlineStr">
        <is>
          <t>Gift messaging increases AOV by 15% in Q4</t>
        </is>
      </c>
    </row>
    <row r="16">
      <c r="A16" s="2" t="inlineStr">
        <is>
          <t>CRE_015</t>
        </is>
      </c>
      <c r="B16" s="2" t="inlineStr">
        <is>
          <t>Creative_15</t>
        </is>
      </c>
      <c r="C16" s="2" t="inlineStr">
        <is>
          <t>Google Shopping</t>
        </is>
      </c>
      <c r="D16" s="2" t="inlineStr">
        <is>
          <t>Video</t>
        </is>
      </c>
      <c r="E16" s="2" t="inlineStr">
        <is>
          <t>Lifestyle</t>
        </is>
      </c>
      <c r="F16" s="2" t="n">
        <v>3</v>
      </c>
      <c r="G16" s="2" t="inlineStr">
        <is>
          <t>2024-08-21</t>
        </is>
      </c>
      <c r="H16" s="2" t="inlineStr">
        <is>
          <t>2024-09-12</t>
        </is>
      </c>
      <c r="I16" s="2" t="inlineStr">
        <is>
          <t>Gift Purchaser</t>
        </is>
      </c>
      <c r="J16" s="3">
        <f>3827.31</f>
        <v/>
      </c>
      <c r="K16" s="3" t="n">
        <v>73348</v>
      </c>
      <c r="L16" s="3">
        <f>ROUND(2.011289213153793,2)</f>
        <v/>
      </c>
      <c r="M16" s="3" t="n">
        <v>166</v>
      </c>
      <c r="N16" s="3">
        <f>ROUND(11.254237288135593,2)</f>
        <v/>
      </c>
      <c r="O16" s="3">
        <f>ROUND(2.8155110462394792,2)</f>
        <v/>
      </c>
      <c r="P16" s="3">
        <f>IF(M16&gt;0,ROUND(J16/M16,2),999)</f>
        <v/>
      </c>
      <c r="Q16" s="3">
        <f>ROUND(3.1,2)</f>
        <v/>
      </c>
      <c r="R16" s="2" t="inlineStr">
        <is>
          <t>Lower CTR</t>
        </is>
      </c>
      <c r="S16" s="2" t="inlineStr">
        <is>
          <t>N</t>
        </is>
      </c>
      <c r="T16" s="2" t="inlineStr">
        <is>
          <t>Family-focused messaging resonates with suburban audiences</t>
        </is>
      </c>
    </row>
    <row r="17">
      <c r="A17" s="4" t="inlineStr">
        <is>
          <t>CRE_016</t>
        </is>
      </c>
      <c r="B17" s="4" t="inlineStr">
        <is>
          <t>Creative_16</t>
        </is>
      </c>
      <c r="C17" s="4" t="inlineStr">
        <is>
          <t>Google Search</t>
        </is>
      </c>
      <c r="D17" s="4" t="inlineStr">
        <is>
          <t>Reel</t>
        </is>
      </c>
      <c r="E17" s="4" t="inlineStr">
        <is>
          <t>Seasonal</t>
        </is>
      </c>
      <c r="F17" s="4" t="n">
        <v>4</v>
      </c>
      <c r="G17" s="4" t="inlineStr">
        <is>
          <t>2024-12-09</t>
        </is>
      </c>
      <c r="H17" s="4" t="inlineStr">
        <is>
          <t>2024-12-06</t>
        </is>
      </c>
      <c r="I17" s="4" t="inlineStr">
        <is>
          <t>Gift Purchaser</t>
        </is>
      </c>
      <c r="J17" s="5">
        <f>2641.26</f>
        <v/>
      </c>
      <c r="K17" s="5" t="n">
        <v>43853</v>
      </c>
      <c r="L17" s="5">
        <f>ROUND(1.8296536351729888,2)</f>
        <v/>
      </c>
      <c r="M17" s="5" t="n">
        <v>33</v>
      </c>
      <c r="N17" s="5">
        <f>ROUND(4.114713216957606,2)</f>
        <v/>
      </c>
      <c r="O17" s="5">
        <f>ROUND(5.060517354714201,2)</f>
        <v/>
      </c>
      <c r="P17" s="5">
        <f>IF(M17&gt;0,ROUND(J17/M17,2),999)</f>
        <v/>
      </c>
      <c r="Q17" s="5">
        <f>ROUND(2.95,2)</f>
        <v/>
      </c>
      <c r="R17" s="4" t="inlineStr">
        <is>
          <t>Test-Complete</t>
        </is>
      </c>
      <c r="S17" s="4" t="inlineStr">
        <is>
          <t>N</t>
        </is>
      </c>
      <c r="T17" s="4" t="inlineStr">
        <is>
          <t>Morning timeslot (7-10 AM) drives highest conversion rate</t>
        </is>
      </c>
    </row>
    <row r="18">
      <c r="A18" s="2" t="inlineStr">
        <is>
          <t>CRE_017</t>
        </is>
      </c>
      <c r="B18" s="2" t="inlineStr">
        <is>
          <t>Creative_17</t>
        </is>
      </c>
      <c r="C18" s="2" t="inlineStr">
        <is>
          <t>Meta</t>
        </is>
      </c>
      <c r="D18" s="2" t="inlineStr">
        <is>
          <t>Reel</t>
        </is>
      </c>
      <c r="E18" s="2" t="inlineStr">
        <is>
          <t>UGC</t>
        </is>
      </c>
      <c r="F18" s="2" t="n">
        <v>4</v>
      </c>
      <c r="G18" s="2" t="inlineStr">
        <is>
          <t>2024-11-14</t>
        </is>
      </c>
      <c r="H18" s="2" t="inlineStr">
        <is>
          <t>2024-11-13</t>
        </is>
      </c>
      <c r="I18" s="2" t="inlineStr">
        <is>
          <t>Gift Purchaser</t>
        </is>
      </c>
      <c r="J18" s="3">
        <f>3450.94</f>
        <v/>
      </c>
      <c r="K18" s="3" t="n">
        <v>55448</v>
      </c>
      <c r="L18" s="3">
        <f>ROUND(2.8587595856903367,2)</f>
        <v/>
      </c>
      <c r="M18" s="3" t="n">
        <v>183</v>
      </c>
      <c r="N18" s="3">
        <f>ROUND(11.545741324921135,2)</f>
        <v/>
      </c>
      <c r="O18" s="3">
        <f>ROUND(4.55421597646851,2)</f>
        <v/>
      </c>
      <c r="P18" s="3">
        <f>IF(M18&gt;0,ROUND(J18/M18,2),999)</f>
        <v/>
      </c>
      <c r="Q18" s="3">
        <f>ROUND(1.89,2)</f>
        <v/>
      </c>
      <c r="R18" s="2" t="inlineStr">
        <is>
          <t>Inventory Issue</t>
        </is>
      </c>
      <c r="S18" s="2" t="inlineStr">
        <is>
          <t>Y</t>
        </is>
      </c>
      <c r="T18" s="2" t="inlineStr">
        <is>
          <t>Seasonal box creative timed to holidays drives pre-orders</t>
        </is>
      </c>
    </row>
    <row r="19">
      <c r="A19" s="4" t="inlineStr">
        <is>
          <t>CRE_018</t>
        </is>
      </c>
      <c r="B19" s="4" t="inlineStr">
        <is>
          <t>Creative_18</t>
        </is>
      </c>
      <c r="C19" s="4" t="inlineStr">
        <is>
          <t>TikTok</t>
        </is>
      </c>
      <c r="D19" s="4" t="inlineStr">
        <is>
          <t>Video</t>
        </is>
      </c>
      <c r="E19" s="4" t="inlineStr">
        <is>
          <t>Seasonal</t>
        </is>
      </c>
      <c r="F19" s="4" t="n">
        <v>4</v>
      </c>
      <c r="G19" s="4" t="inlineStr">
        <is>
          <t>2024-11-19</t>
        </is>
      </c>
      <c r="H19" s="4" t="inlineStr">
        <is>
          <t>2024-11-05</t>
        </is>
      </c>
      <c r="I19" s="4" t="inlineStr">
        <is>
          <t>Lapsed Subscriber</t>
        </is>
      </c>
      <c r="J19" s="5">
        <f>2096.70</f>
        <v/>
      </c>
      <c r="K19" s="5" t="n">
        <v>40564</v>
      </c>
      <c r="L19" s="5">
        <f>ROUND(2.4967445495061233,2)</f>
        <v/>
      </c>
      <c r="M19" s="5" t="n">
        <v>61</v>
      </c>
      <c r="N19" s="5">
        <f>ROUND(6.027667984189724,2)</f>
        <v/>
      </c>
      <c r="O19" s="5">
        <f>ROUND(3.1741433486865436,2)</f>
        <v/>
      </c>
      <c r="P19" s="5">
        <f>IF(M19&gt;0,ROUND(J19/M19,2),999)</f>
        <v/>
      </c>
      <c r="Q19" s="5">
        <f>ROUND(3.2,2)</f>
        <v/>
      </c>
      <c r="R19" s="4" t="inlineStr">
        <is>
          <t>Budget</t>
        </is>
      </c>
      <c r="S19" s="4" t="inlineStr">
        <is>
          <t>N</t>
        </is>
      </c>
      <c r="T19" s="4" t="inlineStr">
        <is>
          <t>Lifestyle imagery (cooking) outperforms product shots</t>
        </is>
      </c>
    </row>
    <row r="20">
      <c r="A20" s="2" t="inlineStr">
        <is>
          <t>CRE_019</t>
        </is>
      </c>
      <c r="B20" s="2" t="inlineStr">
        <is>
          <t>Creative_19</t>
        </is>
      </c>
      <c r="C20" s="2" t="inlineStr">
        <is>
          <t>TikTok</t>
        </is>
      </c>
      <c r="D20" s="2" t="inlineStr">
        <is>
          <t>Carousel</t>
        </is>
      </c>
      <c r="E20" s="2" t="inlineStr">
        <is>
          <t>Educational</t>
        </is>
      </c>
      <c r="F20" s="2" t="n">
        <v>4</v>
      </c>
      <c r="G20" s="2" t="inlineStr">
        <is>
          <t>2024-12-12</t>
        </is>
      </c>
      <c r="H20" s="2" t="inlineStr">
        <is>
          <t>2024-12-05</t>
        </is>
      </c>
      <c r="I20" s="2" t="inlineStr">
        <is>
          <t>Lapsed Subscriber</t>
        </is>
      </c>
      <c r="J20" s="3">
        <f>3970.69</f>
        <v/>
      </c>
      <c r="K20" s="3" t="n">
        <v>48919</v>
      </c>
      <c r="L20" s="3">
        <f>ROUND(1.5924151234146677,2)</f>
        <v/>
      </c>
      <c r="M20" s="3" t="n">
        <v>72</v>
      </c>
      <c r="N20" s="3">
        <f>ROUND(9.254498714652955,2)</f>
        <v/>
      </c>
      <c r="O20" s="3">
        <f>ROUND(5.455075674247151,2)</f>
        <v/>
      </c>
      <c r="P20" s="3">
        <f>IF(M20&gt;0,ROUND(J20/M20,2),999)</f>
        <v/>
      </c>
      <c r="Q20" s="3">
        <f>ROUND(3.06,2)</f>
        <v/>
      </c>
      <c r="R20" s="2" t="inlineStr">
        <is>
          <t>Lower CTR</t>
        </is>
      </c>
      <c r="S20" s="2" t="inlineStr">
        <is>
          <t>N</t>
        </is>
      </c>
      <c r="T20" s="2" t="inlineStr">
        <is>
          <t>Seasonal messaging (Spring/Eco) achieved 4.9x ROAS</t>
        </is>
      </c>
    </row>
    <row r="21">
      <c r="A21" s="4" t="inlineStr">
        <is>
          <t>CRE_020</t>
        </is>
      </c>
      <c r="B21" s="4" t="inlineStr">
        <is>
          <t>Creative_20</t>
        </is>
      </c>
      <c r="C21" s="4" t="inlineStr">
        <is>
          <t>TikTok</t>
        </is>
      </c>
      <c r="D21" s="4" t="inlineStr">
        <is>
          <t>Reel</t>
        </is>
      </c>
      <c r="E21" s="4" t="inlineStr">
        <is>
          <t>UGC</t>
        </is>
      </c>
      <c r="F21" s="4" t="n">
        <v>4</v>
      </c>
      <c r="G21" s="4" t="inlineStr">
        <is>
          <t>2024-12-02</t>
        </is>
      </c>
      <c r="H21" s="4" t="inlineStr">
        <is>
          <t>2024-12-02</t>
        </is>
      </c>
      <c r="I21" s="4" t="inlineStr">
        <is>
          <t>Fitness Enthusiast</t>
        </is>
      </c>
      <c r="J21" s="5">
        <f>4073.14</f>
        <v/>
      </c>
      <c r="K21" s="5" t="n">
        <v>54149</v>
      </c>
      <c r="L21" s="5">
        <f>ROUND(2.7326020225093983,2)</f>
        <v/>
      </c>
      <c r="M21" s="5" t="n">
        <v>118</v>
      </c>
      <c r="N21" s="5">
        <f>ROUND(7.978363759296822,2)</f>
        <v/>
      </c>
      <c r="O21" s="5">
        <f>ROUND(4.49040780296756,2)</f>
        <v/>
      </c>
      <c r="P21" s="5">
        <f>IF(M21&gt;0,ROUND(J21/M21,2),999)</f>
        <v/>
      </c>
      <c r="Q21" s="5">
        <f>ROUND(1.96,2)</f>
        <v/>
      </c>
      <c r="R21" s="4" t="inlineStr">
        <is>
          <t>Seasonal</t>
        </is>
      </c>
      <c r="S21" s="4" t="inlineStr">
        <is>
          <t>N</t>
        </is>
      </c>
      <c r="T21" s="4" t="inlineStr">
        <is>
          <t>Diversity in creative assets critical after 2 weeks of exposure</t>
        </is>
      </c>
    </row>
    <row r="22">
      <c r="A22" s="2" t="inlineStr">
        <is>
          <t>CRE_021</t>
        </is>
      </c>
      <c r="B22" s="2" t="inlineStr">
        <is>
          <t>Creative_21</t>
        </is>
      </c>
      <c r="C22" s="2" t="inlineStr">
        <is>
          <t>YouTube</t>
        </is>
      </c>
      <c r="D22" s="2" t="inlineStr">
        <is>
          <t>Image</t>
        </is>
      </c>
      <c r="E22" s="2" t="inlineStr">
        <is>
          <t>Lifestyle</t>
        </is>
      </c>
      <c r="F22" s="2" t="n">
        <v>1</v>
      </c>
      <c r="G22" s="2" t="inlineStr">
        <is>
          <t>2024-03-10</t>
        </is>
      </c>
      <c r="H22" s="2" t="inlineStr">
        <is>
          <t>2024-04-18</t>
        </is>
      </c>
      <c r="I22" s="2" t="inlineStr">
        <is>
          <t>Eco-Minded Family</t>
        </is>
      </c>
      <c r="J22" s="3">
        <f>4526.23</f>
        <v/>
      </c>
      <c r="K22" s="3" t="n">
        <v>55294</v>
      </c>
      <c r="L22" s="3">
        <f>ROUND(2.9115254915012834,2)</f>
        <v/>
      </c>
      <c r="M22" s="3" t="n">
        <v>113</v>
      </c>
      <c r="N22" s="3">
        <f>ROUND(7.0229956494717225,2)</f>
        <v/>
      </c>
      <c r="O22" s="3">
        <f>ROUND(3.865456441414783,2)</f>
        <v/>
      </c>
      <c r="P22" s="3">
        <f>IF(M22&gt;0,ROUND(J22/M22,2),999)</f>
        <v/>
      </c>
      <c r="Q22" s="3">
        <f>ROUND(3.78,2)</f>
        <v/>
      </c>
      <c r="R22" s="2" t="inlineStr">
        <is>
          <t>Fatigue</t>
        </is>
      </c>
      <c r="S22" s="2" t="inlineStr">
        <is>
          <t>N</t>
        </is>
      </c>
      <c r="T22" s="2" t="inlineStr">
        <is>
          <t>Mobile-first design improves CTR by 12%</t>
        </is>
      </c>
    </row>
    <row r="23">
      <c r="A23" s="4" t="inlineStr">
        <is>
          <t>CRE_022</t>
        </is>
      </c>
      <c r="B23" s="4" t="inlineStr">
        <is>
          <t>Creative_22</t>
        </is>
      </c>
      <c r="C23" s="4" t="inlineStr">
        <is>
          <t>TikTok</t>
        </is>
      </c>
      <c r="D23" s="4" t="inlineStr">
        <is>
          <t>Carousel</t>
        </is>
      </c>
      <c r="E23" s="4" t="inlineStr">
        <is>
          <t>Educational</t>
        </is>
      </c>
      <c r="F23" s="4" t="n">
        <v>1</v>
      </c>
      <c r="G23" s="4" t="inlineStr">
        <is>
          <t>2024-03-01</t>
        </is>
      </c>
      <c r="H23" s="4" t="inlineStr">
        <is>
          <t>2024-03-03</t>
        </is>
      </c>
      <c r="I23" s="4" t="inlineStr">
        <is>
          <t>Gift Purchaser</t>
        </is>
      </c>
      <c r="J23" s="5">
        <f>609.56</f>
        <v/>
      </c>
      <c r="K23" s="5" t="n">
        <v>12175</v>
      </c>
      <c r="L23" s="5">
        <f>ROUND(1.0798744945585987,2)</f>
        <v/>
      </c>
      <c r="M23" s="5" t="n">
        <v>10</v>
      </c>
      <c r="N23" s="5">
        <f>ROUND(7.633587786259542,2)</f>
        <v/>
      </c>
      <c r="O23" s="5">
        <f>ROUND(5.028141299448578,2)</f>
        <v/>
      </c>
      <c r="P23" s="5">
        <f>IF(M23&gt;0,ROUND(J23/M23,2),999)</f>
        <v/>
      </c>
      <c r="Q23" s="5">
        <f>ROUND(3.0,2)</f>
        <v/>
      </c>
      <c r="R23" s="4" t="inlineStr">
        <is>
          <t>CAC Increase</t>
        </is>
      </c>
      <c r="S23" s="4" t="inlineStr">
        <is>
          <t>N</t>
        </is>
      </c>
      <c r="T23" s="4" t="inlineStr">
        <is>
          <t>Seasonal box creative timed to holidays drives pre-orders</t>
        </is>
      </c>
    </row>
    <row r="24">
      <c r="A24" s="2" t="inlineStr">
        <is>
          <t>CRE_023</t>
        </is>
      </c>
      <c r="B24" s="2" t="inlineStr">
        <is>
          <t>Creative_23</t>
        </is>
      </c>
      <c r="C24" s="2" t="inlineStr">
        <is>
          <t>YouTube</t>
        </is>
      </c>
      <c r="D24" s="2" t="inlineStr">
        <is>
          <t>Story</t>
        </is>
      </c>
      <c r="E24" s="2" t="inlineStr">
        <is>
          <t>Lifestyle</t>
        </is>
      </c>
      <c r="F24" s="2" t="n">
        <v>1</v>
      </c>
      <c r="G24" s="2" t="inlineStr">
        <is>
          <t>2024-03-05</t>
        </is>
      </c>
      <c r="H24" s="2" t="inlineStr">
        <is>
          <t>2024-04-19</t>
        </is>
      </c>
      <c r="I24" s="2" t="inlineStr">
        <is>
          <t>Eco-Minded Family</t>
        </is>
      </c>
      <c r="J24" s="3">
        <f>4769.79</f>
        <v/>
      </c>
      <c r="K24" s="3" t="n">
        <v>56162</v>
      </c>
      <c r="L24" s="3">
        <f>ROUND(4.173747687506566,2)</f>
        <v/>
      </c>
      <c r="M24" s="3" t="n">
        <v>130</v>
      </c>
      <c r="N24" s="3">
        <f>ROUND(5.546075085324232,2)</f>
        <v/>
      </c>
      <c r="O24" s="3">
        <f>ROUND(2.9660902052465747,2)</f>
        <v/>
      </c>
      <c r="P24" s="3">
        <f>IF(M24&gt;0,ROUND(J24/M24,2),999)</f>
        <v/>
      </c>
      <c r="Q24" s="3">
        <f>ROUND(2.76,2)</f>
        <v/>
      </c>
      <c r="R24" s="2" t="inlineStr">
        <is>
          <t>Test-Complete</t>
        </is>
      </c>
      <c r="S24" s="2" t="inlineStr">
        <is>
          <t>N</t>
        </is>
      </c>
      <c r="T24" s="2" t="inlineStr">
        <is>
          <t>Testimonial videos generate 5.1x ROAS</t>
        </is>
      </c>
    </row>
    <row r="25">
      <c r="A25" s="4" t="inlineStr">
        <is>
          <t>CRE_024</t>
        </is>
      </c>
      <c r="B25" s="4" t="inlineStr">
        <is>
          <t>Creative_24</t>
        </is>
      </c>
      <c r="C25" s="4" t="inlineStr">
        <is>
          <t>Google Search</t>
        </is>
      </c>
      <c r="D25" s="4" t="inlineStr">
        <is>
          <t>Video</t>
        </is>
      </c>
      <c r="E25" s="4" t="inlineStr">
        <is>
          <t>Product</t>
        </is>
      </c>
      <c r="F25" s="4" t="n">
        <v>1</v>
      </c>
      <c r="G25" s="4" t="inlineStr">
        <is>
          <t>2024-01-26</t>
        </is>
      </c>
      <c r="H25" s="4" t="inlineStr">
        <is>
          <t>2024-02-21</t>
        </is>
      </c>
      <c r="I25" s="4" t="inlineStr">
        <is>
          <t>Eco-Minded Family</t>
        </is>
      </c>
      <c r="J25" s="5">
        <f>1189.10</f>
        <v/>
      </c>
      <c r="K25" s="5" t="n">
        <v>10304</v>
      </c>
      <c r="L25" s="5">
        <f>ROUND(3.078366608444,2)</f>
        <v/>
      </c>
      <c r="M25" s="5" t="n">
        <v>34</v>
      </c>
      <c r="N25" s="5">
        <f>ROUND(10.725552050473187,2)</f>
        <v/>
      </c>
      <c r="O25" s="5">
        <f>ROUND(5.009877550240826,2)</f>
        <v/>
      </c>
      <c r="P25" s="5">
        <f>IF(M25&gt;0,ROUND(J25/M25,2),999)</f>
        <v/>
      </c>
      <c r="Q25" s="5">
        <f>ROUND(1.89,2)</f>
        <v/>
      </c>
      <c r="R25" s="4" t="inlineStr">
        <is>
          <t>CAC Increase</t>
        </is>
      </c>
      <c r="S25" s="4" t="inlineStr">
        <is>
          <t>N</t>
        </is>
      </c>
      <c r="T25" s="4" t="inlineStr">
        <is>
          <t>Carousel ads reduce ad fatigue faster than single image</t>
        </is>
      </c>
    </row>
    <row r="26">
      <c r="A26" s="2" t="inlineStr">
        <is>
          <t>CRE_025</t>
        </is>
      </c>
      <c r="B26" s="2" t="inlineStr">
        <is>
          <t>Creative_25</t>
        </is>
      </c>
      <c r="C26" s="2" t="inlineStr">
        <is>
          <t>Meta</t>
        </is>
      </c>
      <c r="D26" s="2" t="inlineStr">
        <is>
          <t>Story</t>
        </is>
      </c>
      <c r="E26" s="2" t="inlineStr">
        <is>
          <t>Lifestyle</t>
        </is>
      </c>
      <c r="F26" s="2" t="n">
        <v>1</v>
      </c>
      <c r="G26" s="2" t="inlineStr">
        <is>
          <t>2024-01-22</t>
        </is>
      </c>
      <c r="H26" s="2" t="inlineStr">
        <is>
          <t>2024-01-05</t>
        </is>
      </c>
      <c r="I26" s="2" t="inlineStr">
        <is>
          <t>Eco-Minded Family</t>
        </is>
      </c>
      <c r="J26" s="3">
        <f>4328.83</f>
        <v/>
      </c>
      <c r="K26" s="3" t="n">
        <v>61213</v>
      </c>
      <c r="L26" s="3">
        <f>ROUND(2.6646989872710347,2)</f>
        <v/>
      </c>
      <c r="M26" s="3" t="n">
        <v>93</v>
      </c>
      <c r="N26" s="3">
        <f>ROUND(5.702023298589822,2)</f>
        <v/>
      </c>
      <c r="O26" s="3">
        <f>ROUND(3.177877606077532,2)</f>
        <v/>
      </c>
      <c r="P26" s="3">
        <f>IF(M26&gt;0,ROUND(J26/M26,2),999)</f>
        <v/>
      </c>
      <c r="Q26" s="3">
        <f>ROUND(3.16,2)</f>
        <v/>
      </c>
      <c r="R26" s="2" t="inlineStr">
        <is>
          <t>CAC Increase</t>
        </is>
      </c>
      <c r="S26" s="2" t="inlineStr">
        <is>
          <t>N</t>
        </is>
      </c>
      <c r="T26" s="2" t="inlineStr">
        <is>
          <t>Price-focused messaging performs worse with affluent segments</t>
        </is>
      </c>
    </row>
    <row r="27">
      <c r="A27" s="4" t="inlineStr">
        <is>
          <t>CRE_026</t>
        </is>
      </c>
      <c r="B27" s="4" t="inlineStr">
        <is>
          <t>Creative_26</t>
        </is>
      </c>
      <c r="C27" s="4" t="inlineStr">
        <is>
          <t>TikTok</t>
        </is>
      </c>
      <c r="D27" s="4" t="inlineStr">
        <is>
          <t>Shopping</t>
        </is>
      </c>
      <c r="E27" s="4" t="inlineStr">
        <is>
          <t>Educational</t>
        </is>
      </c>
      <c r="F27" s="4" t="n">
        <v>2</v>
      </c>
      <c r="G27" s="4" t="inlineStr">
        <is>
          <t>2024-05-17</t>
        </is>
      </c>
      <c r="H27" s="4" t="inlineStr">
        <is>
          <t>2024-05-03</t>
        </is>
      </c>
      <c r="I27" s="4" t="inlineStr">
        <is>
          <t>Fitness Enthusiast</t>
        </is>
      </c>
      <c r="J27" s="5">
        <f>1137.91</f>
        <v/>
      </c>
      <c r="K27" s="5" t="n">
        <v>21863</v>
      </c>
      <c r="L27" s="5">
        <f>ROUND(2.360408366439833,2)</f>
        <v/>
      </c>
      <c r="M27" s="5" t="n">
        <v>38</v>
      </c>
      <c r="N27" s="5">
        <f>ROUND(7.3643410852713185,2)</f>
        <v/>
      </c>
      <c r="O27" s="5">
        <f>ROUND(4.904800825604856,2)</f>
        <v/>
      </c>
      <c r="P27" s="5">
        <f>IF(M27&gt;0,ROUND(J27/M27,2),999)</f>
        <v/>
      </c>
      <c r="Q27" s="5">
        <f>ROUND(2.87,2)</f>
        <v/>
      </c>
      <c r="R27" s="4" t="inlineStr">
        <is>
          <t>Budget</t>
        </is>
      </c>
      <c r="S27" s="4" t="inlineStr">
        <is>
          <t>Y</t>
        </is>
      </c>
      <c r="T27" s="4" t="inlineStr">
        <is>
          <t>UGC content outperforms staged product photography by 18%</t>
        </is>
      </c>
    </row>
    <row r="28">
      <c r="A28" s="2" t="inlineStr">
        <is>
          <t>CRE_027</t>
        </is>
      </c>
      <c r="B28" s="2" t="inlineStr">
        <is>
          <t>Creative_27</t>
        </is>
      </c>
      <c r="C28" s="2" t="inlineStr">
        <is>
          <t>Google Shopping</t>
        </is>
      </c>
      <c r="D28" s="2" t="inlineStr">
        <is>
          <t>Shopping</t>
        </is>
      </c>
      <c r="E28" s="2" t="inlineStr">
        <is>
          <t>Lifestyle</t>
        </is>
      </c>
      <c r="F28" s="2" t="n">
        <v>2</v>
      </c>
      <c r="G28" s="2" t="inlineStr">
        <is>
          <t>2024-05-17</t>
        </is>
      </c>
      <c r="H28" s="2" t="inlineStr">
        <is>
          <t>2024-05-08</t>
        </is>
      </c>
      <c r="I28" s="2" t="inlineStr">
        <is>
          <t>Health-Conscious Professional</t>
        </is>
      </c>
      <c r="J28" s="3">
        <f>3544.63</f>
        <v/>
      </c>
      <c r="K28" s="3" t="n">
        <v>48261</v>
      </c>
      <c r="L28" s="3">
        <f>ROUND(1.1235802844493592,2)</f>
        <v/>
      </c>
      <c r="M28" s="3" t="n">
        <v>43</v>
      </c>
      <c r="N28" s="3">
        <f>ROUND(7.9335793357933575,2)</f>
        <v/>
      </c>
      <c r="O28" s="3">
        <f>ROUND(4.881783192641094,2)</f>
        <v/>
      </c>
      <c r="P28" s="3">
        <f>IF(M28&gt;0,ROUND(J28/M28,2),999)</f>
        <v/>
      </c>
      <c r="Q28" s="3">
        <f>ROUND(1.84,2)</f>
        <v/>
      </c>
      <c r="R28" s="2" t="inlineStr">
        <is>
          <t>Inventory Issue</t>
        </is>
      </c>
      <c r="S28" s="2" t="inlineStr">
        <is>
          <t>N</t>
        </is>
      </c>
      <c r="T28" s="2" t="inlineStr">
        <is>
          <t>Family-focused messaging resonates with suburban audiences</t>
        </is>
      </c>
    </row>
    <row r="29">
      <c r="A29" s="4" t="inlineStr">
        <is>
          <t>CRE_028</t>
        </is>
      </c>
      <c r="B29" s="4" t="inlineStr">
        <is>
          <t>Creative_28</t>
        </is>
      </c>
      <c r="C29" s="4" t="inlineStr">
        <is>
          <t>YouTube</t>
        </is>
      </c>
      <c r="D29" s="4" t="inlineStr">
        <is>
          <t>Story</t>
        </is>
      </c>
      <c r="E29" s="4" t="inlineStr">
        <is>
          <t>Educational</t>
        </is>
      </c>
      <c r="F29" s="4" t="n">
        <v>2</v>
      </c>
      <c r="G29" s="4" t="inlineStr">
        <is>
          <t>2024-05-26</t>
        </is>
      </c>
      <c r="H29" s="4" t="inlineStr">
        <is>
          <t>2024-05-18</t>
        </is>
      </c>
      <c r="I29" s="4" t="inlineStr">
        <is>
          <t>Gift Purchaser</t>
        </is>
      </c>
      <c r="J29" s="5">
        <f>1746.70</f>
        <v/>
      </c>
      <c r="K29" s="5" t="n">
        <v>14289</v>
      </c>
      <c r="L29" s="5">
        <f>ROUND(1.6873261049618713,2)</f>
        <v/>
      </c>
      <c r="M29" s="5" t="n">
        <v>24</v>
      </c>
      <c r="N29" s="5">
        <f>ROUND(9.95850622406639,2)</f>
        <v/>
      </c>
      <c r="O29" s="5">
        <f>ROUND(3.5354950134414693,2)</f>
        <v/>
      </c>
      <c r="P29" s="5">
        <f>IF(M29&gt;0,ROUND(J29/M29,2),999)</f>
        <v/>
      </c>
      <c r="Q29" s="5">
        <f>ROUND(1.27,2)</f>
        <v/>
      </c>
      <c r="R29" s="4" t="inlineStr">
        <is>
          <t>Test-Complete</t>
        </is>
      </c>
      <c r="S29" s="4" t="inlineStr">
        <is>
          <t>N</t>
        </is>
      </c>
      <c r="T29" s="4" t="inlineStr">
        <is>
          <t>Gift messaging increases AOV by 15% in Q4</t>
        </is>
      </c>
    </row>
    <row r="30">
      <c r="A30" s="2" t="inlineStr">
        <is>
          <t>CRE_029</t>
        </is>
      </c>
      <c r="B30" s="2" t="inlineStr">
        <is>
          <t>Creative_29</t>
        </is>
      </c>
      <c r="C30" s="2" t="inlineStr">
        <is>
          <t>Meta</t>
        </is>
      </c>
      <c r="D30" s="2" t="inlineStr">
        <is>
          <t>Video</t>
        </is>
      </c>
      <c r="E30" s="2" t="inlineStr">
        <is>
          <t>Lifestyle</t>
        </is>
      </c>
      <c r="F30" s="2" t="n">
        <v>2</v>
      </c>
      <c r="G30" s="2" t="inlineStr">
        <is>
          <t>2024-04-12</t>
        </is>
      </c>
      <c r="H30" s="2" t="inlineStr">
        <is>
          <t>2024-05-11</t>
        </is>
      </c>
      <c r="I30" s="2" t="inlineStr">
        <is>
          <t>Fitness Enthusiast</t>
        </is>
      </c>
      <c r="J30" s="3">
        <f>652.89</f>
        <v/>
      </c>
      <c r="K30" s="3" t="n">
        <v>11397</v>
      </c>
      <c r="L30" s="3">
        <f>ROUND(4.308338716219456,2)</f>
        <v/>
      </c>
      <c r="M30" s="3" t="n">
        <v>35</v>
      </c>
      <c r="N30" s="3">
        <f>ROUND(7.128309572301425,2)</f>
        <v/>
      </c>
      <c r="O30" s="3">
        <f>ROUND(3.349108373634245,2)</f>
        <v/>
      </c>
      <c r="P30" s="3">
        <f>IF(M30&gt;0,ROUND(J30/M30,2),999)</f>
        <v/>
      </c>
      <c r="Q30" s="3">
        <f>ROUND(3.23,2)</f>
        <v/>
      </c>
      <c r="R30" s="2" t="inlineStr">
        <is>
          <t>Budget</t>
        </is>
      </c>
      <c r="S30" s="2" t="inlineStr">
        <is>
          <t>N</t>
        </is>
      </c>
      <c r="T30" s="2" t="inlineStr">
        <is>
          <t>Diversity in creative assets critical after 2 weeks of exposure</t>
        </is>
      </c>
    </row>
    <row r="31">
      <c r="A31" s="4" t="inlineStr">
        <is>
          <t>CRE_030</t>
        </is>
      </c>
      <c r="B31" s="4" t="inlineStr">
        <is>
          <t>Creative_30</t>
        </is>
      </c>
      <c r="C31" s="4" t="inlineStr">
        <is>
          <t>YouTube</t>
        </is>
      </c>
      <c r="D31" s="4" t="inlineStr">
        <is>
          <t>Video</t>
        </is>
      </c>
      <c r="E31" s="4" t="inlineStr">
        <is>
          <t>Educational</t>
        </is>
      </c>
      <c r="F31" s="4" t="n">
        <v>2</v>
      </c>
      <c r="G31" s="4" t="inlineStr">
        <is>
          <t>2024-04-01</t>
        </is>
      </c>
      <c r="H31" s="4" t="inlineStr">
        <is>
          <t>2024-05-27</t>
        </is>
      </c>
      <c r="I31" s="4" t="inlineStr">
        <is>
          <t>Eco-Minded Family</t>
        </is>
      </c>
      <c r="J31" s="5">
        <f>4037.76</f>
        <v/>
      </c>
      <c r="K31" s="5" t="n">
        <v>45421</v>
      </c>
      <c r="L31" s="5">
        <f>ROUND(1.8388293999279033,2)</f>
        <v/>
      </c>
      <c r="M31" s="5" t="n">
        <v>50</v>
      </c>
      <c r="N31" s="5">
        <f>ROUND(5.9880239520958085,2)</f>
        <v/>
      </c>
      <c r="O31" s="5">
        <f>ROUND(4.051578793343198,2)</f>
        <v/>
      </c>
      <c r="P31" s="5">
        <f>IF(M31&gt;0,ROUND(J31/M31,2),999)</f>
        <v/>
      </c>
      <c r="Q31" s="5">
        <f>ROUND(1.93,2)</f>
        <v/>
      </c>
      <c r="R31" s="4" t="inlineStr">
        <is>
          <t>Lower CTR</t>
        </is>
      </c>
      <c r="S31" s="4" t="inlineStr">
        <is>
          <t>N</t>
        </is>
      </c>
      <c r="T31" s="4" t="inlineStr">
        <is>
          <t>UGC content outperforms staged product photography by 18%</t>
        </is>
      </c>
    </row>
    <row r="32">
      <c r="A32" s="2" t="inlineStr">
        <is>
          <t>CRE_031</t>
        </is>
      </c>
      <c r="B32" s="2" t="inlineStr">
        <is>
          <t>Creative_31</t>
        </is>
      </c>
      <c r="C32" s="2" t="inlineStr">
        <is>
          <t>Google Shopping</t>
        </is>
      </c>
      <c r="D32" s="2" t="inlineStr">
        <is>
          <t>Story</t>
        </is>
      </c>
      <c r="E32" s="2" t="inlineStr">
        <is>
          <t>UGC</t>
        </is>
      </c>
      <c r="F32" s="2" t="n">
        <v>3</v>
      </c>
      <c r="G32" s="2" t="inlineStr">
        <is>
          <t>2024-07-24</t>
        </is>
      </c>
      <c r="H32" s="2" t="inlineStr">
        <is>
          <t>2024-07-07</t>
        </is>
      </c>
      <c r="I32" s="2" t="inlineStr">
        <is>
          <t>Gift Purchaser</t>
        </is>
      </c>
      <c r="J32" s="3">
        <f>2767.85</f>
        <v/>
      </c>
      <c r="K32" s="3" t="n">
        <v>22918</v>
      </c>
      <c r="L32" s="3">
        <f>ROUND(1.8744831927302843,2)</f>
        <v/>
      </c>
      <c r="M32" s="3" t="n">
        <v>37</v>
      </c>
      <c r="N32" s="3">
        <f>ROUND(8.624708624708624,2)</f>
        <v/>
      </c>
      <c r="O32" s="3">
        <f>ROUND(3.624966629691957,2)</f>
        <v/>
      </c>
      <c r="P32" s="3">
        <f>IF(M32&gt;0,ROUND(J32/M32,2),999)</f>
        <v/>
      </c>
      <c r="Q32" s="3">
        <f>ROUND(2.09,2)</f>
        <v/>
      </c>
      <c r="R32" s="2" t="inlineStr">
        <is>
          <t>Budget</t>
        </is>
      </c>
      <c r="S32" s="2" t="inlineStr">
        <is>
          <t>N</t>
        </is>
      </c>
      <c r="T32" s="2" t="inlineStr">
        <is>
          <t>Price-focused messaging performs worse with affluent segments</t>
        </is>
      </c>
    </row>
    <row r="33">
      <c r="A33" s="4" t="inlineStr">
        <is>
          <t>CRE_032</t>
        </is>
      </c>
      <c r="B33" s="4" t="inlineStr">
        <is>
          <t>Creative_32</t>
        </is>
      </c>
      <c r="C33" s="4" t="inlineStr">
        <is>
          <t>Google Search</t>
        </is>
      </c>
      <c r="D33" s="4" t="inlineStr">
        <is>
          <t>Video</t>
        </is>
      </c>
      <c r="E33" s="4" t="inlineStr">
        <is>
          <t>Lifestyle</t>
        </is>
      </c>
      <c r="F33" s="4" t="n">
        <v>3</v>
      </c>
      <c r="G33" s="4" t="inlineStr">
        <is>
          <t>2024-08-19</t>
        </is>
      </c>
      <c r="H33" s="4" t="inlineStr">
        <is>
          <t>2024-09-07</t>
        </is>
      </c>
      <c r="I33" s="4" t="inlineStr">
        <is>
          <t>Eco-Minded Family</t>
        </is>
      </c>
      <c r="J33" s="5">
        <f>4996.13</f>
        <v/>
      </c>
      <c r="K33" s="5" t="n">
        <v>60435</v>
      </c>
      <c r="L33" s="5">
        <f>ROUND(3.8733609649045766,2)</f>
        <v/>
      </c>
      <c r="M33" s="5" t="n">
        <v>246</v>
      </c>
      <c r="N33" s="5">
        <f>ROUND(10.512820512820513,2)</f>
        <v/>
      </c>
      <c r="O33" s="5">
        <f>ROUND(4.256558037322149,2)</f>
        <v/>
      </c>
      <c r="P33" s="5">
        <f>IF(M33&gt;0,ROUND(J33/M33,2),999)</f>
        <v/>
      </c>
      <c r="Q33" s="5">
        <f>ROUND(3.49,2)</f>
        <v/>
      </c>
      <c r="R33" s="4" t="inlineStr">
        <is>
          <t>Seasonal</t>
        </is>
      </c>
      <c r="S33" s="4" t="inlineStr">
        <is>
          <t>Y</t>
        </is>
      </c>
      <c r="T33" s="4" t="inlineStr">
        <is>
          <t>Family-focused messaging resonates with suburban audiences</t>
        </is>
      </c>
    </row>
    <row r="34">
      <c r="A34" s="2" t="inlineStr">
        <is>
          <t>CRE_033</t>
        </is>
      </c>
      <c r="B34" s="2" t="inlineStr">
        <is>
          <t>Creative_33</t>
        </is>
      </c>
      <c r="C34" s="2" t="inlineStr">
        <is>
          <t>TikTok</t>
        </is>
      </c>
      <c r="D34" s="2" t="inlineStr">
        <is>
          <t>Video</t>
        </is>
      </c>
      <c r="E34" s="2" t="inlineStr">
        <is>
          <t>UGC</t>
        </is>
      </c>
      <c r="F34" s="2" t="n">
        <v>3</v>
      </c>
      <c r="G34" s="2" t="inlineStr">
        <is>
          <t>2024-07-01</t>
        </is>
      </c>
      <c r="H34" s="2" t="inlineStr">
        <is>
          <t>2024-07-20</t>
        </is>
      </c>
      <c r="I34" s="2" t="inlineStr">
        <is>
          <t>Health-Conscious Professional</t>
        </is>
      </c>
      <c r="J34" s="3">
        <f>4336.24</f>
        <v/>
      </c>
      <c r="K34" s="3" t="n">
        <v>66634</v>
      </c>
      <c r="L34" s="3">
        <f>ROUND(2.837063572059932,2)</f>
        <v/>
      </c>
      <c r="M34" s="3" t="n">
        <v>199</v>
      </c>
      <c r="N34" s="3">
        <f>ROUND(10.52910052910053,2)</f>
        <v/>
      </c>
      <c r="O34" s="3">
        <f>ROUND(5.497519491829854,2)</f>
        <v/>
      </c>
      <c r="P34" s="3">
        <f>IF(M34&gt;0,ROUND(J34/M34,2),999)</f>
        <v/>
      </c>
      <c r="Q34" s="3">
        <f>ROUND(1.4,2)</f>
        <v/>
      </c>
      <c r="R34" s="2" t="inlineStr">
        <is>
          <t>Fatigue</t>
        </is>
      </c>
      <c r="S34" s="2" t="inlineStr">
        <is>
          <t>Y</t>
        </is>
      </c>
      <c r="T34" s="2" t="inlineStr">
        <is>
          <t>Testimonial videos generate 5.1x ROAS</t>
        </is>
      </c>
    </row>
    <row r="35">
      <c r="A35" s="4" t="inlineStr">
        <is>
          <t>CRE_034</t>
        </is>
      </c>
      <c r="B35" s="4" t="inlineStr">
        <is>
          <t>Creative_34</t>
        </is>
      </c>
      <c r="C35" s="4" t="inlineStr">
        <is>
          <t>Meta</t>
        </is>
      </c>
      <c r="D35" s="4" t="inlineStr">
        <is>
          <t>Video</t>
        </is>
      </c>
      <c r="E35" s="4" t="inlineStr">
        <is>
          <t>Lifestyle</t>
        </is>
      </c>
      <c r="F35" s="4" t="n">
        <v>3</v>
      </c>
      <c r="G35" s="4" t="inlineStr">
        <is>
          <t>2024-07-18</t>
        </is>
      </c>
      <c r="H35" s="4" t="inlineStr">
        <is>
          <t>2024-08-08</t>
        </is>
      </c>
      <c r="I35" s="4" t="inlineStr">
        <is>
          <t>Health-Conscious Professional</t>
        </is>
      </c>
      <c r="J35" s="5">
        <f>3654.90</f>
        <v/>
      </c>
      <c r="K35" s="5" t="n">
        <v>36788</v>
      </c>
      <c r="L35" s="5">
        <f>ROUND(3.9638897995983404,2)</f>
        <v/>
      </c>
      <c r="M35" s="5" t="n">
        <v>165</v>
      </c>
      <c r="N35" s="5">
        <f>ROUND(11.316872427983538,2)</f>
        <v/>
      </c>
      <c r="O35" s="5">
        <f>ROUND(2.1839362305823933,2)</f>
        <v/>
      </c>
      <c r="P35" s="5">
        <f>IF(M35&gt;0,ROUND(J35/M35,2),999)</f>
        <v/>
      </c>
      <c r="Q35" s="5">
        <f>ROUND(2.97,2)</f>
        <v/>
      </c>
      <c r="R35" s="4" t="inlineStr">
        <is>
          <t>CAC Increase</t>
        </is>
      </c>
      <c r="S35" s="4" t="inlineStr">
        <is>
          <t>N</t>
        </is>
      </c>
      <c r="T35" s="4" t="inlineStr">
        <is>
          <t>Gift messaging increases AOV by 15% in Q4</t>
        </is>
      </c>
    </row>
    <row r="36">
      <c r="A36" s="2" t="inlineStr">
        <is>
          <t>CRE_035</t>
        </is>
      </c>
      <c r="B36" s="2" t="inlineStr">
        <is>
          <t>Creative_35</t>
        </is>
      </c>
      <c r="C36" s="2" t="inlineStr">
        <is>
          <t>Meta</t>
        </is>
      </c>
      <c r="D36" s="2" t="inlineStr">
        <is>
          <t>Carousel</t>
        </is>
      </c>
      <c r="E36" s="2" t="inlineStr">
        <is>
          <t>Educational</t>
        </is>
      </c>
      <c r="F36" s="2" t="n">
        <v>3</v>
      </c>
      <c r="G36" s="2" t="inlineStr">
        <is>
          <t>2024-07-03</t>
        </is>
      </c>
      <c r="H36" s="2" t="inlineStr">
        <is>
          <t>2024-07-10</t>
        </is>
      </c>
      <c r="I36" s="2" t="inlineStr">
        <is>
          <t>Health-Conscious Professional</t>
        </is>
      </c>
      <c r="J36" s="3">
        <f>3785.56</f>
        <v/>
      </c>
      <c r="K36" s="3" t="n">
        <v>57414</v>
      </c>
      <c r="L36" s="3">
        <f>ROUND(3.1558206120041423,2)</f>
        <v/>
      </c>
      <c r="M36" s="3" t="n">
        <v>137</v>
      </c>
      <c r="N36" s="3">
        <f>ROUND(7.564881281060187,2)</f>
        <v/>
      </c>
      <c r="O36" s="3">
        <f>ROUND(1.834375253015633,2)</f>
        <v/>
      </c>
      <c r="P36" s="3">
        <f>IF(M36&gt;0,ROUND(J36/M36,2),999)</f>
        <v/>
      </c>
      <c r="Q36" s="3">
        <f>ROUND(1.3,2)</f>
        <v/>
      </c>
      <c r="R36" s="2" t="inlineStr">
        <is>
          <t>Winner-Kept</t>
        </is>
      </c>
      <c r="S36" s="2" t="inlineStr">
        <is>
          <t>N</t>
        </is>
      </c>
      <c r="T36" s="2" t="inlineStr">
        <is>
          <t>Seasonal box creative timed to holidays drives pre-orders</t>
        </is>
      </c>
    </row>
    <row r="37">
      <c r="A37" s="4" t="inlineStr">
        <is>
          <t>CRE_036</t>
        </is>
      </c>
      <c r="B37" s="4" t="inlineStr">
        <is>
          <t>Creative_36</t>
        </is>
      </c>
      <c r="C37" s="4" t="inlineStr">
        <is>
          <t>Google Search</t>
        </is>
      </c>
      <c r="D37" s="4" t="inlineStr">
        <is>
          <t>Reel</t>
        </is>
      </c>
      <c r="E37" s="4" t="inlineStr">
        <is>
          <t>Lifestyle</t>
        </is>
      </c>
      <c r="F37" s="4" t="n">
        <v>4</v>
      </c>
      <c r="G37" s="4" t="inlineStr">
        <is>
          <t>2024-12-24</t>
        </is>
      </c>
      <c r="H37" s="4" t="inlineStr">
        <is>
          <t>2024-12-24</t>
        </is>
      </c>
      <c r="I37" s="4" t="inlineStr">
        <is>
          <t>Lapsed Subscriber</t>
        </is>
      </c>
      <c r="J37" s="5">
        <f>2275.66</f>
        <v/>
      </c>
      <c r="K37" s="5" t="n">
        <v>36104</v>
      </c>
      <c r="L37" s="5">
        <f>ROUND(0.6014495843567667,2)</f>
        <v/>
      </c>
      <c r="M37" s="5" t="n">
        <v>25</v>
      </c>
      <c r="N37" s="5">
        <f>ROUND(11.52073732718894,2)</f>
        <v/>
      </c>
      <c r="O37" s="5">
        <f>ROUND(4.769472171232236,2)</f>
        <v/>
      </c>
      <c r="P37" s="5">
        <f>IF(M37&gt;0,ROUND(J37/M37,2),999)</f>
        <v/>
      </c>
      <c r="Q37" s="5">
        <f>ROUND(3.0,2)</f>
        <v/>
      </c>
      <c r="R37" s="4" t="inlineStr">
        <is>
          <t>Test-Complete</t>
        </is>
      </c>
      <c r="S37" s="4" t="inlineStr">
        <is>
          <t>N</t>
        </is>
      </c>
      <c r="T37" s="4" t="inlineStr">
        <is>
          <t>Family-focused messaging resonates with suburban audiences</t>
        </is>
      </c>
    </row>
    <row r="38">
      <c r="A38" s="2" t="inlineStr">
        <is>
          <t>CRE_037</t>
        </is>
      </c>
      <c r="B38" s="2" t="inlineStr">
        <is>
          <t>Creative_37</t>
        </is>
      </c>
      <c r="C38" s="2" t="inlineStr">
        <is>
          <t>YouTube</t>
        </is>
      </c>
      <c r="D38" s="2" t="inlineStr">
        <is>
          <t>Image</t>
        </is>
      </c>
      <c r="E38" s="2" t="inlineStr">
        <is>
          <t>Educational</t>
        </is>
      </c>
      <c r="F38" s="2" t="n">
        <v>4</v>
      </c>
      <c r="G38" s="2" t="inlineStr">
        <is>
          <t>2024-11-13</t>
        </is>
      </c>
      <c r="H38" s="2" t="inlineStr">
        <is>
          <t>2024-12-13</t>
        </is>
      </c>
      <c r="I38" s="2" t="inlineStr">
        <is>
          <t>Gift Purchaser</t>
        </is>
      </c>
      <c r="J38" s="3">
        <f>1340.88</f>
        <v/>
      </c>
      <c r="K38" s="3" t="n">
        <v>23678</v>
      </c>
      <c r="L38" s="3">
        <f>ROUND(3.1689897164696084,2)</f>
        <v/>
      </c>
      <c r="M38" s="3" t="n">
        <v>66</v>
      </c>
      <c r="N38" s="3">
        <f>ROUND(8.799999999999999,2)</f>
        <v/>
      </c>
      <c r="O38" s="3">
        <f>ROUND(3.480953427531061,2)</f>
        <v/>
      </c>
      <c r="P38" s="3">
        <f>IF(M38&gt;0,ROUND(J38/M38,2),999)</f>
        <v/>
      </c>
      <c r="Q38" s="3">
        <f>ROUND(1.73,2)</f>
        <v/>
      </c>
      <c r="R38" s="2" t="inlineStr">
        <is>
          <t>CAC Increase</t>
        </is>
      </c>
      <c r="S38" s="2" t="inlineStr">
        <is>
          <t>N</t>
        </is>
      </c>
      <c r="T38" s="2" t="inlineStr">
        <is>
          <t>Diversity in creative assets critical after 2 weeks of exposure</t>
        </is>
      </c>
    </row>
    <row r="39">
      <c r="A39" s="4" t="inlineStr">
        <is>
          <t>CRE_038</t>
        </is>
      </c>
      <c r="B39" s="4" t="inlineStr">
        <is>
          <t>Creative_38</t>
        </is>
      </c>
      <c r="C39" s="4" t="inlineStr">
        <is>
          <t>Meta</t>
        </is>
      </c>
      <c r="D39" s="4" t="inlineStr">
        <is>
          <t>Shopping</t>
        </is>
      </c>
      <c r="E39" s="4" t="inlineStr">
        <is>
          <t>Seasonal</t>
        </is>
      </c>
      <c r="F39" s="4" t="n">
        <v>4</v>
      </c>
      <c r="G39" s="4" t="inlineStr">
        <is>
          <t>2024-12-22</t>
        </is>
      </c>
      <c r="H39" s="4" t="inlineStr">
        <is>
          <t>2024-12-22</t>
        </is>
      </c>
      <c r="I39" s="4" t="inlineStr">
        <is>
          <t>Gift Purchaser</t>
        </is>
      </c>
      <c r="J39" s="5">
        <f>4489.01</f>
        <v/>
      </c>
      <c r="K39" s="5" t="n">
        <v>64740</v>
      </c>
      <c r="L39" s="5">
        <f>ROUND(4.2551664651363215,2)</f>
        <v/>
      </c>
      <c r="M39" s="5" t="n">
        <v>273</v>
      </c>
      <c r="N39" s="5">
        <f>ROUND(9.912854030501089,2)</f>
        <v/>
      </c>
      <c r="O39" s="5">
        <f>ROUND(3.7700914601481648,2)</f>
        <v/>
      </c>
      <c r="P39" s="5">
        <f>IF(M39&gt;0,ROUND(J39/M39,2),999)</f>
        <v/>
      </c>
      <c r="Q39" s="5">
        <f>ROUND(2.75,2)</f>
        <v/>
      </c>
      <c r="R39" s="4" t="inlineStr">
        <is>
          <t>Seasonal</t>
        </is>
      </c>
      <c r="S39" s="4" t="inlineStr">
        <is>
          <t>Y</t>
        </is>
      </c>
      <c r="T39" s="4" t="inlineStr">
        <is>
          <t>Morning timeslot (7-10 AM) drives highest conversion rate</t>
        </is>
      </c>
    </row>
    <row r="40">
      <c r="A40" s="2" t="inlineStr">
        <is>
          <t>CRE_039</t>
        </is>
      </c>
      <c r="B40" s="2" t="inlineStr">
        <is>
          <t>Creative_39</t>
        </is>
      </c>
      <c r="C40" s="2" t="inlineStr">
        <is>
          <t>YouTube</t>
        </is>
      </c>
      <c r="D40" s="2" t="inlineStr">
        <is>
          <t>Carousel</t>
        </is>
      </c>
      <c r="E40" s="2" t="inlineStr">
        <is>
          <t>Seasonal</t>
        </is>
      </c>
      <c r="F40" s="2" t="n">
        <v>4</v>
      </c>
      <c r="G40" s="2" t="inlineStr">
        <is>
          <t>2024-11-10</t>
        </is>
      </c>
      <c r="H40" s="2" t="inlineStr">
        <is>
          <t>2024-12-08</t>
        </is>
      </c>
      <c r="I40" s="2" t="inlineStr">
        <is>
          <t>Health-Conscious Professional</t>
        </is>
      </c>
      <c r="J40" s="3">
        <f>1775.97</f>
        <v/>
      </c>
      <c r="K40" s="3" t="n">
        <v>15331</v>
      </c>
      <c r="L40" s="3">
        <f>ROUND(4.269440438207038,2)</f>
        <v/>
      </c>
      <c r="M40" s="3" t="n">
        <v>53</v>
      </c>
      <c r="N40" s="3">
        <f>ROUND(8.103975535168196,2)</f>
        <v/>
      </c>
      <c r="O40" s="3">
        <f>ROUND(3.1397658382417224,2)</f>
        <v/>
      </c>
      <c r="P40" s="3">
        <f>IF(M40&gt;0,ROUND(J40/M40,2),999)</f>
        <v/>
      </c>
      <c r="Q40" s="3">
        <f>ROUND(3.07,2)</f>
        <v/>
      </c>
      <c r="R40" s="2" t="inlineStr">
        <is>
          <t>Fatigue</t>
        </is>
      </c>
      <c r="S40" s="2" t="inlineStr">
        <is>
          <t>N</t>
        </is>
      </c>
      <c r="T40" s="2" t="inlineStr">
        <is>
          <t>Lifestyle imagery (cooking) outperforms product shots</t>
        </is>
      </c>
    </row>
    <row r="41">
      <c r="A41" s="4" t="inlineStr">
        <is>
          <t>CRE_040</t>
        </is>
      </c>
      <c r="B41" s="4" t="inlineStr">
        <is>
          <t>Creative_40</t>
        </is>
      </c>
      <c r="C41" s="4" t="inlineStr">
        <is>
          <t>Google Search</t>
        </is>
      </c>
      <c r="D41" s="4" t="inlineStr">
        <is>
          <t>Story</t>
        </is>
      </c>
      <c r="E41" s="4" t="inlineStr">
        <is>
          <t>Seasonal</t>
        </is>
      </c>
      <c r="F41" s="4" t="n">
        <v>4</v>
      </c>
      <c r="G41" s="4" t="inlineStr">
        <is>
          <t>2024-11-28</t>
        </is>
      </c>
      <c r="H41" s="4" t="inlineStr">
        <is>
          <t>2024-11-10</t>
        </is>
      </c>
      <c r="I41" s="4" t="inlineStr">
        <is>
          <t>Eco-Minded Family</t>
        </is>
      </c>
      <c r="J41" s="5">
        <f>4639.83</f>
        <v/>
      </c>
      <c r="K41" s="5" t="n">
        <v>39295</v>
      </c>
      <c r="L41" s="5">
        <f>ROUND(4.226123667623147,2)</f>
        <v/>
      </c>
      <c r="M41" s="5" t="n">
        <v>162</v>
      </c>
      <c r="N41" s="5">
        <f>ROUND(9.759036144578314,2)</f>
        <v/>
      </c>
      <c r="O41" s="5">
        <f>ROUND(3.9881403343241075,2)</f>
        <v/>
      </c>
      <c r="P41" s="5">
        <f>IF(M41&gt;0,ROUND(J41/M41,2),999)</f>
        <v/>
      </c>
      <c r="Q41" s="5">
        <f>ROUND(2.15,2)</f>
        <v/>
      </c>
      <c r="R41" s="4" t="inlineStr">
        <is>
          <t>Fatigue</t>
        </is>
      </c>
      <c r="S41" s="4" t="inlineStr">
        <is>
          <t>Y</t>
        </is>
      </c>
      <c r="T41" s="4" t="inlineStr">
        <is>
          <t>Seasonal box creative timed to holidays drives pre-orders</t>
        </is>
      </c>
    </row>
    <row r="42">
      <c r="A42" s="2" t="inlineStr">
        <is>
          <t>CRE_041</t>
        </is>
      </c>
      <c r="B42" s="2" t="inlineStr">
        <is>
          <t>Creative_41</t>
        </is>
      </c>
      <c r="C42" s="2" t="inlineStr">
        <is>
          <t>Meta</t>
        </is>
      </c>
      <c r="D42" s="2" t="inlineStr">
        <is>
          <t>Video</t>
        </is>
      </c>
      <c r="E42" s="2" t="inlineStr">
        <is>
          <t>Product</t>
        </is>
      </c>
      <c r="F42" s="2" t="n">
        <v>1</v>
      </c>
      <c r="G42" s="2" t="inlineStr">
        <is>
          <t>2024-02-13</t>
        </is>
      </c>
      <c r="H42" s="2" t="inlineStr">
        <is>
          <t>2024-02-06</t>
        </is>
      </c>
      <c r="I42" s="2" t="inlineStr">
        <is>
          <t>Eco-Minded Family</t>
        </is>
      </c>
      <c r="J42" s="3">
        <f>3787.67</f>
        <v/>
      </c>
      <c r="K42" s="3" t="n">
        <v>42750</v>
      </c>
      <c r="L42" s="3">
        <f>ROUND(0.8812447888584409,2)</f>
        <v/>
      </c>
      <c r="M42" s="3" t="n">
        <v>28</v>
      </c>
      <c r="N42" s="3">
        <f>ROUND(7.446808510638298,2)</f>
        <v/>
      </c>
      <c r="O42" s="3">
        <f>ROUND(3.1777722652097857,2)</f>
        <v/>
      </c>
      <c r="P42" s="3">
        <f>IF(M42&gt;0,ROUND(J42/M42,2),999)</f>
        <v/>
      </c>
      <c r="Q42" s="3">
        <f>ROUND(2.46,2)</f>
        <v/>
      </c>
      <c r="R42" s="2" t="inlineStr">
        <is>
          <t>Inventory Issue</t>
        </is>
      </c>
      <c r="S42" s="2" t="inlineStr">
        <is>
          <t>N</t>
        </is>
      </c>
      <c r="T42" s="2" t="inlineStr">
        <is>
          <t>Carousel ads reduce ad fatigue faster than single image</t>
        </is>
      </c>
    </row>
    <row r="43">
      <c r="A43" s="4" t="inlineStr">
        <is>
          <t>CRE_042</t>
        </is>
      </c>
      <c r="B43" s="4" t="inlineStr">
        <is>
          <t>Creative_42</t>
        </is>
      </c>
      <c r="C43" s="4" t="inlineStr">
        <is>
          <t>YouTube</t>
        </is>
      </c>
      <c r="D43" s="4" t="inlineStr">
        <is>
          <t>Image</t>
        </is>
      </c>
      <c r="E43" s="4" t="inlineStr">
        <is>
          <t>Educational</t>
        </is>
      </c>
      <c r="F43" s="4" t="n">
        <v>1</v>
      </c>
      <c r="G43" s="4" t="inlineStr">
        <is>
          <t>2024-01-01</t>
        </is>
      </c>
      <c r="H43" s="4" t="inlineStr">
        <is>
          <t>2024-02-25</t>
        </is>
      </c>
      <c r="I43" s="4" t="inlineStr">
        <is>
          <t>Health-Conscious Professional</t>
        </is>
      </c>
      <c r="J43" s="5">
        <f>4950.21</f>
        <v/>
      </c>
      <c r="K43" s="5" t="n">
        <v>48058</v>
      </c>
      <c r="L43" s="5">
        <f>ROUND(1.6437420821805144,2)</f>
        <v/>
      </c>
      <c r="M43" s="5" t="n">
        <v>70</v>
      </c>
      <c r="N43" s="5">
        <f>ROUND(8.871989860583017,2)</f>
        <v/>
      </c>
      <c r="O43" s="5">
        <f>ROUND(3.757476769948722,2)</f>
        <v/>
      </c>
      <c r="P43" s="5">
        <f>IF(M43&gt;0,ROUND(J43/M43,2),999)</f>
        <v/>
      </c>
      <c r="Q43" s="5">
        <f>ROUND(2.15,2)</f>
        <v/>
      </c>
      <c r="R43" s="4" t="inlineStr">
        <is>
          <t>Winner-Kept</t>
        </is>
      </c>
      <c r="S43" s="4" t="inlineStr">
        <is>
          <t>N</t>
        </is>
      </c>
      <c r="T43" s="4" t="inlineStr">
        <is>
          <t>Testimonial videos generate 5.1x ROAS</t>
        </is>
      </c>
    </row>
    <row r="44">
      <c r="A44" s="2" t="inlineStr">
        <is>
          <t>CRE_043</t>
        </is>
      </c>
      <c r="B44" s="2" t="inlineStr">
        <is>
          <t>Creative_43</t>
        </is>
      </c>
      <c r="C44" s="2" t="inlineStr">
        <is>
          <t>YouTube</t>
        </is>
      </c>
      <c r="D44" s="2" t="inlineStr">
        <is>
          <t>Reel</t>
        </is>
      </c>
      <c r="E44" s="2" t="inlineStr">
        <is>
          <t>Promotional</t>
        </is>
      </c>
      <c r="F44" s="2" t="n">
        <v>1</v>
      </c>
      <c r="G44" s="2" t="inlineStr">
        <is>
          <t>2024-02-26</t>
        </is>
      </c>
      <c r="H44" s="2" t="inlineStr">
        <is>
          <t>2024-02-26</t>
        </is>
      </c>
      <c r="I44" s="2" t="inlineStr">
        <is>
          <t>Gift Purchaser</t>
        </is>
      </c>
      <c r="J44" s="3">
        <f>4058.70</f>
        <v/>
      </c>
      <c r="K44" s="3" t="n">
        <v>60590</v>
      </c>
      <c r="L44" s="3">
        <f>ROUND(3.827626399030227,2)</f>
        <v/>
      </c>
      <c r="M44" s="3" t="n">
        <v>223</v>
      </c>
      <c r="N44" s="3">
        <f>ROUND(9.616213885295386,2)</f>
        <v/>
      </c>
      <c r="O44" s="3">
        <f>ROUND(2.307366742946078,2)</f>
        <v/>
      </c>
      <c r="P44" s="3">
        <f>IF(M44&gt;0,ROUND(J44/M44,2),999)</f>
        <v/>
      </c>
      <c r="Q44" s="3">
        <f>ROUND(2.99,2)</f>
        <v/>
      </c>
      <c r="R44" s="2" t="inlineStr">
        <is>
          <t>Test-Complete</t>
        </is>
      </c>
      <c r="S44" s="2" t="inlineStr">
        <is>
          <t>N</t>
        </is>
      </c>
      <c r="T44" s="2" t="inlineStr">
        <is>
          <t>Carousel ads reduce ad fatigue faster than single image</t>
        </is>
      </c>
    </row>
    <row r="45">
      <c r="A45" s="4" t="inlineStr">
        <is>
          <t>CRE_044</t>
        </is>
      </c>
      <c r="B45" s="4" t="inlineStr">
        <is>
          <t>Creative_44</t>
        </is>
      </c>
      <c r="C45" s="4" t="inlineStr">
        <is>
          <t>Google Shopping</t>
        </is>
      </c>
      <c r="D45" s="4" t="inlineStr">
        <is>
          <t>Image</t>
        </is>
      </c>
      <c r="E45" s="4" t="inlineStr">
        <is>
          <t>Promotional</t>
        </is>
      </c>
      <c r="F45" s="4" t="n">
        <v>1</v>
      </c>
      <c r="G45" s="4" t="inlineStr">
        <is>
          <t>2024-03-24</t>
        </is>
      </c>
      <c r="H45" s="4" t="inlineStr">
        <is>
          <t>2024-04-12</t>
        </is>
      </c>
      <c r="I45" s="4" t="inlineStr">
        <is>
          <t>Fitness Enthusiast</t>
        </is>
      </c>
      <c r="J45" s="5">
        <f>4657.13</f>
        <v/>
      </c>
      <c r="K45" s="5" t="n">
        <v>63843</v>
      </c>
      <c r="L45" s="5">
        <f>ROUND(2.8393755008597954,2)</f>
        <v/>
      </c>
      <c r="M45" s="5" t="n">
        <v>92</v>
      </c>
      <c r="N45" s="5">
        <f>ROUND(5.077262693156733,2)</f>
        <v/>
      </c>
      <c r="O45" s="5">
        <f>ROUND(4.76483308627207,2)</f>
        <v/>
      </c>
      <c r="P45" s="5">
        <f>IF(M45&gt;0,ROUND(J45/M45,2),999)</f>
        <v/>
      </c>
      <c r="Q45" s="5">
        <f>ROUND(2.26,2)</f>
        <v/>
      </c>
      <c r="R45" s="4" t="inlineStr">
        <is>
          <t>Test-Complete</t>
        </is>
      </c>
      <c r="S45" s="4" t="inlineStr">
        <is>
          <t>N</t>
        </is>
      </c>
      <c r="T45" s="4" t="inlineStr">
        <is>
          <t>Carousel ads reduce ad fatigue faster than single image</t>
        </is>
      </c>
    </row>
    <row r="46">
      <c r="A46" s="2" t="inlineStr">
        <is>
          <t>CRE_045</t>
        </is>
      </c>
      <c r="B46" s="2" t="inlineStr">
        <is>
          <t>Creative_45</t>
        </is>
      </c>
      <c r="C46" s="2" t="inlineStr">
        <is>
          <t>TikTok</t>
        </is>
      </c>
      <c r="D46" s="2" t="inlineStr">
        <is>
          <t>Story</t>
        </is>
      </c>
      <c r="E46" s="2" t="inlineStr">
        <is>
          <t>UGC</t>
        </is>
      </c>
      <c r="F46" s="2" t="n">
        <v>1</v>
      </c>
      <c r="G46" s="2" t="inlineStr">
        <is>
          <t>2024-02-23</t>
        </is>
      </c>
      <c r="H46" s="2" t="inlineStr">
        <is>
          <t>2024-03-27</t>
        </is>
      </c>
      <c r="I46" s="2" t="inlineStr">
        <is>
          <t>Health-Conscious Professional</t>
        </is>
      </c>
      <c r="J46" s="3">
        <f>4355.15</f>
        <v/>
      </c>
      <c r="K46" s="3" t="n">
        <v>54044</v>
      </c>
      <c r="L46" s="3">
        <f>ROUND(3.67837706097513,2)</f>
        <v/>
      </c>
      <c r="M46" s="3" t="n">
        <v>176</v>
      </c>
      <c r="N46" s="3">
        <f>ROUND(8.857574232511324,2)</f>
        <v/>
      </c>
      <c r="O46" s="3">
        <f>ROUND(5.194083629781326,2)</f>
        <v/>
      </c>
      <c r="P46" s="3">
        <f>IF(M46&gt;0,ROUND(J46/M46,2),999)</f>
        <v/>
      </c>
      <c r="Q46" s="3">
        <f>ROUND(1.71,2)</f>
        <v/>
      </c>
      <c r="R46" s="2" t="inlineStr">
        <is>
          <t>Winner-Kept</t>
        </is>
      </c>
      <c r="S46" s="2" t="inlineStr">
        <is>
          <t>Y</t>
        </is>
      </c>
      <c r="T46" s="2" t="inlineStr">
        <is>
          <t>Seasonal messaging (Spring/Eco) achieved 4.9x ROAS</t>
        </is>
      </c>
    </row>
    <row r="47">
      <c r="A47" s="4" t="inlineStr">
        <is>
          <t>CRE_046</t>
        </is>
      </c>
      <c r="B47" s="4" t="inlineStr">
        <is>
          <t>Creative_46</t>
        </is>
      </c>
      <c r="C47" s="4" t="inlineStr">
        <is>
          <t>Google Search</t>
        </is>
      </c>
      <c r="D47" s="4" t="inlineStr">
        <is>
          <t>Video</t>
        </is>
      </c>
      <c r="E47" s="4" t="inlineStr">
        <is>
          <t>Product</t>
        </is>
      </c>
      <c r="F47" s="4" t="n">
        <v>2</v>
      </c>
      <c r="G47" s="4" t="inlineStr">
        <is>
          <t>2024-04-28</t>
        </is>
      </c>
      <c r="H47" s="4" t="inlineStr">
        <is>
          <t>2024-04-05</t>
        </is>
      </c>
      <c r="I47" s="4" t="inlineStr">
        <is>
          <t>Lapsed Subscriber</t>
        </is>
      </c>
      <c r="J47" s="5">
        <f>4297.27</f>
        <v/>
      </c>
      <c r="K47" s="5" t="n">
        <v>56052</v>
      </c>
      <c r="L47" s="5">
        <f>ROUND(1.0683525633633124,2)</f>
        <v/>
      </c>
      <c r="M47" s="5" t="n">
        <v>68</v>
      </c>
      <c r="N47" s="5">
        <f>ROUND(11.37123745819398,2)</f>
        <v/>
      </c>
      <c r="O47" s="5">
        <f>ROUND(4.806653060082827,2)</f>
        <v/>
      </c>
      <c r="P47" s="5">
        <f>IF(M47&gt;0,ROUND(J47/M47,2),999)</f>
        <v/>
      </c>
      <c r="Q47" s="5">
        <f>ROUND(2.93,2)</f>
        <v/>
      </c>
      <c r="R47" s="4" t="inlineStr">
        <is>
          <t>Seasonal</t>
        </is>
      </c>
      <c r="S47" s="4" t="inlineStr">
        <is>
          <t>N</t>
        </is>
      </c>
      <c r="T47" s="4" t="inlineStr">
        <is>
          <t>Price-focused messaging performs worse with affluent segments</t>
        </is>
      </c>
    </row>
    <row r="48">
      <c r="A48" s="2" t="inlineStr">
        <is>
          <t>CRE_047</t>
        </is>
      </c>
      <c r="B48" s="2" t="inlineStr">
        <is>
          <t>Creative_47</t>
        </is>
      </c>
      <c r="C48" s="2" t="inlineStr">
        <is>
          <t>Meta</t>
        </is>
      </c>
      <c r="D48" s="2" t="inlineStr">
        <is>
          <t>Carousel</t>
        </is>
      </c>
      <c r="E48" s="2" t="inlineStr">
        <is>
          <t>Lifestyle</t>
        </is>
      </c>
      <c r="F48" s="2" t="n">
        <v>2</v>
      </c>
      <c r="G48" s="2" t="inlineStr">
        <is>
          <t>2024-04-04</t>
        </is>
      </c>
      <c r="H48" s="2" t="inlineStr">
        <is>
          <t>2024-04-13</t>
        </is>
      </c>
      <c r="I48" s="2" t="inlineStr">
        <is>
          <t>Eco-Minded Family</t>
        </is>
      </c>
      <c r="J48" s="3">
        <f>2594.58</f>
        <v/>
      </c>
      <c r="K48" s="3" t="n">
        <v>30613</v>
      </c>
      <c r="L48" s="3">
        <f>ROUND(2.9146962404658208,2)</f>
        <v/>
      </c>
      <c r="M48" s="3" t="n">
        <v>49</v>
      </c>
      <c r="N48" s="3">
        <f>ROUND(5.493273542600897,2)</f>
        <v/>
      </c>
      <c r="O48" s="3">
        <f>ROUND(4.207875980146775,2)</f>
        <v/>
      </c>
      <c r="P48" s="3">
        <f>IF(M48&gt;0,ROUND(J48/M48,2),999)</f>
        <v/>
      </c>
      <c r="Q48" s="3">
        <f>ROUND(1.69,2)</f>
        <v/>
      </c>
      <c r="R48" s="2" t="inlineStr">
        <is>
          <t>Budget</t>
        </is>
      </c>
      <c r="S48" s="2" t="inlineStr">
        <is>
          <t>N</t>
        </is>
      </c>
      <c r="T48" s="2" t="inlineStr">
        <is>
          <t>Family-focused messaging resonates with suburban audiences</t>
        </is>
      </c>
    </row>
    <row r="49">
      <c r="A49" s="4" t="inlineStr">
        <is>
          <t>CRE_048</t>
        </is>
      </c>
      <c r="B49" s="4" t="inlineStr">
        <is>
          <t>Creative_48</t>
        </is>
      </c>
      <c r="C49" s="4" t="inlineStr">
        <is>
          <t>TikTok</t>
        </is>
      </c>
      <c r="D49" s="4" t="inlineStr">
        <is>
          <t>Video</t>
        </is>
      </c>
      <c r="E49" s="4" t="inlineStr">
        <is>
          <t>Promotional</t>
        </is>
      </c>
      <c r="F49" s="4" t="n">
        <v>2</v>
      </c>
      <c r="G49" s="4" t="inlineStr">
        <is>
          <t>2024-04-27</t>
        </is>
      </c>
      <c r="H49" s="4" t="inlineStr">
        <is>
          <t>2024-04-28</t>
        </is>
      </c>
      <c r="I49" s="4" t="inlineStr">
        <is>
          <t>Fitness Enthusiast</t>
        </is>
      </c>
      <c r="J49" s="5">
        <f>4809.32</f>
        <v/>
      </c>
      <c r="K49" s="5" t="n">
        <v>89510</v>
      </c>
      <c r="L49" s="5">
        <f>ROUND(3.9819740321004793,2)</f>
        <v/>
      </c>
      <c r="M49" s="5" t="n">
        <v>199</v>
      </c>
      <c r="N49" s="5">
        <f>ROUND(5.58361391694725,2)</f>
        <v/>
      </c>
      <c r="O49" s="5">
        <f>ROUND(2.2731561943833265,2)</f>
        <v/>
      </c>
      <c r="P49" s="5">
        <f>IF(M49&gt;0,ROUND(J49/M49,2),999)</f>
        <v/>
      </c>
      <c r="Q49" s="5">
        <f>ROUND(2.94,2)</f>
        <v/>
      </c>
      <c r="R49" s="4" t="inlineStr">
        <is>
          <t>Lower CTR</t>
        </is>
      </c>
      <c r="S49" s="4" t="inlineStr">
        <is>
          <t>N</t>
        </is>
      </c>
      <c r="T49" s="4" t="inlineStr">
        <is>
          <t>Diversity in creative assets critical after 2 weeks of exposure</t>
        </is>
      </c>
    </row>
    <row r="50">
      <c r="A50" s="2" t="inlineStr">
        <is>
          <t>CRE_049</t>
        </is>
      </c>
      <c r="B50" s="2" t="inlineStr">
        <is>
          <t>Creative_49</t>
        </is>
      </c>
      <c r="C50" s="2" t="inlineStr">
        <is>
          <t>TikTok</t>
        </is>
      </c>
      <c r="D50" s="2" t="inlineStr">
        <is>
          <t>Image</t>
        </is>
      </c>
      <c r="E50" s="2" t="inlineStr">
        <is>
          <t>Product</t>
        </is>
      </c>
      <c r="F50" s="2" t="n">
        <v>2</v>
      </c>
      <c r="G50" s="2" t="inlineStr">
        <is>
          <t>2024-04-07</t>
        </is>
      </c>
      <c r="H50" s="2" t="inlineStr">
        <is>
          <t>2024-04-08</t>
        </is>
      </c>
      <c r="I50" s="2" t="inlineStr">
        <is>
          <t>Fitness Enthusiast</t>
        </is>
      </c>
      <c r="J50" s="3">
        <f>4963.63</f>
        <v/>
      </c>
      <c r="K50" s="3" t="n">
        <v>95610</v>
      </c>
      <c r="L50" s="3">
        <f>ROUND(1.4228824289698783,2)</f>
        <v/>
      </c>
      <c r="M50" s="3" t="n">
        <v>61</v>
      </c>
      <c r="N50" s="3">
        <f>ROUND(4.485294117647059,2)</f>
        <v/>
      </c>
      <c r="O50" s="3">
        <f>ROUND(2.280973767728024,2)</f>
        <v/>
      </c>
      <c r="P50" s="3">
        <f>IF(M50&gt;0,ROUND(J50/M50,2),999)</f>
        <v/>
      </c>
      <c r="Q50" s="3">
        <f>ROUND(2.18,2)</f>
        <v/>
      </c>
      <c r="R50" s="2" t="inlineStr">
        <is>
          <t>Seasonal</t>
        </is>
      </c>
      <c r="S50" s="2" t="inlineStr">
        <is>
          <t>N</t>
        </is>
      </c>
      <c r="T50" s="2" t="inlineStr">
        <is>
          <t>Price-focused messaging performs worse with affluent segments</t>
        </is>
      </c>
    </row>
    <row r="51">
      <c r="A51" s="4" t="inlineStr">
        <is>
          <t>CRE_050</t>
        </is>
      </c>
      <c r="B51" s="4" t="inlineStr">
        <is>
          <t>Creative_50</t>
        </is>
      </c>
      <c r="C51" s="4" t="inlineStr">
        <is>
          <t>Google Search</t>
        </is>
      </c>
      <c r="D51" s="4" t="inlineStr">
        <is>
          <t>Image</t>
        </is>
      </c>
      <c r="E51" s="4" t="inlineStr">
        <is>
          <t>Educational</t>
        </is>
      </c>
      <c r="F51" s="4" t="n">
        <v>2</v>
      </c>
      <c r="G51" s="4" t="inlineStr">
        <is>
          <t>2024-04-23</t>
        </is>
      </c>
      <c r="H51" s="4" t="inlineStr">
        <is>
          <t>2024-05-14</t>
        </is>
      </c>
      <c r="I51" s="4" t="inlineStr">
        <is>
          <t>Fitness Enthusiast</t>
        </is>
      </c>
      <c r="J51" s="5">
        <f>654.81</f>
        <v/>
      </c>
      <c r="K51" s="5" t="n">
        <v>10022</v>
      </c>
      <c r="L51" s="5">
        <f>ROUND(1.6491101405938986,2)</f>
        <v/>
      </c>
      <c r="M51" s="5" t="n">
        <v>15</v>
      </c>
      <c r="N51" s="5">
        <f>ROUND(9.090909090909092,2)</f>
        <v/>
      </c>
      <c r="O51" s="5">
        <f>ROUND(4.644348991768612,2)</f>
        <v/>
      </c>
      <c r="P51" s="5">
        <f>IF(M51&gt;0,ROUND(J51/M51,2),999)</f>
        <v/>
      </c>
      <c r="Q51" s="5">
        <f>ROUND(1.8,2)</f>
        <v/>
      </c>
      <c r="R51" s="4" t="inlineStr">
        <is>
          <t>Budget</t>
        </is>
      </c>
      <c r="S51" s="4" t="inlineStr">
        <is>
          <t>N</t>
        </is>
      </c>
      <c r="T51" s="4" t="inlineStr">
        <is>
          <t>Carousel ads reduce ad fatigue faster than single image</t>
        </is>
      </c>
    </row>
    <row r="52">
      <c r="A52" s="2" t="inlineStr">
        <is>
          <t>CRE_051</t>
        </is>
      </c>
      <c r="B52" s="2" t="inlineStr">
        <is>
          <t>Creative_51</t>
        </is>
      </c>
      <c r="C52" s="2" t="inlineStr">
        <is>
          <t>Google Shopping</t>
        </is>
      </c>
      <c r="D52" s="2" t="inlineStr">
        <is>
          <t>Story</t>
        </is>
      </c>
      <c r="E52" s="2" t="inlineStr">
        <is>
          <t>Educational</t>
        </is>
      </c>
      <c r="F52" s="2" t="n">
        <v>3</v>
      </c>
      <c r="G52" s="2" t="inlineStr">
        <is>
          <t>2024-08-17</t>
        </is>
      </c>
      <c r="H52" s="2" t="inlineStr">
        <is>
          <t>2024-09-20</t>
        </is>
      </c>
      <c r="I52" s="2" t="inlineStr">
        <is>
          <t>Eco-Minded Family</t>
        </is>
      </c>
      <c r="J52" s="3">
        <f>2007.79</f>
        <v/>
      </c>
      <c r="K52" s="3" t="n">
        <v>24279</v>
      </c>
      <c r="L52" s="3">
        <f>ROUND(3.5988972956448073,2)</f>
        <v/>
      </c>
      <c r="M52" s="3" t="n">
        <v>54</v>
      </c>
      <c r="N52" s="3">
        <f>ROUND(6.185567010309279,2)</f>
        <v/>
      </c>
      <c r="O52" s="3">
        <f>ROUND(2.4529865743947035,2)</f>
        <v/>
      </c>
      <c r="P52" s="3">
        <f>IF(M52&gt;0,ROUND(J52/M52,2),999)</f>
        <v/>
      </c>
      <c r="Q52" s="3">
        <f>ROUND(1.33,2)</f>
        <v/>
      </c>
      <c r="R52" s="2" t="inlineStr">
        <is>
          <t>Lower CTR</t>
        </is>
      </c>
      <c r="S52" s="2" t="inlineStr">
        <is>
          <t>N</t>
        </is>
      </c>
      <c r="T52" s="2" t="inlineStr">
        <is>
          <t>Testimonial videos generate 5.1x ROAS</t>
        </is>
      </c>
    </row>
    <row r="53">
      <c r="A53" s="4" t="inlineStr">
        <is>
          <t>CRE_052</t>
        </is>
      </c>
      <c r="B53" s="4" t="inlineStr">
        <is>
          <t>Creative_52</t>
        </is>
      </c>
      <c r="C53" s="4" t="inlineStr">
        <is>
          <t>TikTok</t>
        </is>
      </c>
      <c r="D53" s="4" t="inlineStr">
        <is>
          <t>Reel</t>
        </is>
      </c>
      <c r="E53" s="4" t="inlineStr">
        <is>
          <t>Product</t>
        </is>
      </c>
      <c r="F53" s="4" t="n">
        <v>3</v>
      </c>
      <c r="G53" s="4" t="inlineStr">
        <is>
          <t>2024-09-09</t>
        </is>
      </c>
      <c r="H53" s="4" t="inlineStr">
        <is>
          <t>2024-10-19</t>
        </is>
      </c>
      <c r="I53" s="4" t="inlineStr">
        <is>
          <t>Health-Conscious Professional</t>
        </is>
      </c>
      <c r="J53" s="5">
        <f>4063.12</f>
        <v/>
      </c>
      <c r="K53" s="5" t="n">
        <v>63883</v>
      </c>
      <c r="L53" s="5">
        <f>ROUND(1.577400770984303,2)</f>
        <v/>
      </c>
      <c r="M53" s="5" t="n">
        <v>82</v>
      </c>
      <c r="N53" s="5">
        <f>ROUND(8.14299900695134,2)</f>
        <v/>
      </c>
      <c r="O53" s="5">
        <f>ROUND(5.00993454595548,2)</f>
        <v/>
      </c>
      <c r="P53" s="5">
        <f>IF(M53&gt;0,ROUND(J53/M53,2),999)</f>
        <v/>
      </c>
      <c r="Q53" s="5">
        <f>ROUND(3.42,2)</f>
        <v/>
      </c>
      <c r="R53" s="4" t="inlineStr">
        <is>
          <t>Winner-Kept</t>
        </is>
      </c>
      <c r="S53" s="4" t="inlineStr">
        <is>
          <t>N</t>
        </is>
      </c>
      <c r="T53" s="4" t="inlineStr">
        <is>
          <t>UGC content outperforms staged product photography by 18%</t>
        </is>
      </c>
    </row>
    <row r="54">
      <c r="A54" s="2" t="inlineStr">
        <is>
          <t>CRE_053</t>
        </is>
      </c>
      <c r="B54" s="2" t="inlineStr">
        <is>
          <t>Creative_53</t>
        </is>
      </c>
      <c r="C54" s="2" t="inlineStr">
        <is>
          <t>TikTok</t>
        </is>
      </c>
      <c r="D54" s="2" t="inlineStr">
        <is>
          <t>Video</t>
        </is>
      </c>
      <c r="E54" s="2" t="inlineStr">
        <is>
          <t>Promotional</t>
        </is>
      </c>
      <c r="F54" s="2" t="n">
        <v>3</v>
      </c>
      <c r="G54" s="2" t="inlineStr">
        <is>
          <t>2024-08-28</t>
        </is>
      </c>
      <c r="H54" s="2" t="inlineStr">
        <is>
          <t>2024-08-05</t>
        </is>
      </c>
      <c r="I54" s="2" t="inlineStr">
        <is>
          <t>Fitness Enthusiast</t>
        </is>
      </c>
      <c r="J54" s="3">
        <f>2045.41</f>
        <v/>
      </c>
      <c r="K54" s="3" t="n">
        <v>37958</v>
      </c>
      <c r="L54" s="3">
        <f>ROUND(2.922966535677466,2)</f>
        <v/>
      </c>
      <c r="M54" s="3" t="n">
        <v>105</v>
      </c>
      <c r="N54" s="3">
        <f>ROUND(9.467989179440938,2)</f>
        <v/>
      </c>
      <c r="O54" s="3">
        <f>ROUND(4.339971118603921,2)</f>
        <v/>
      </c>
      <c r="P54" s="3">
        <f>IF(M54&gt;0,ROUND(J54/M54,2),999)</f>
        <v/>
      </c>
      <c r="Q54" s="3">
        <f>ROUND(3.4,2)</f>
        <v/>
      </c>
      <c r="R54" s="2" t="inlineStr">
        <is>
          <t>CAC Increase</t>
        </is>
      </c>
      <c r="S54" s="2" t="inlineStr">
        <is>
          <t>Y</t>
        </is>
      </c>
      <c r="T54" s="2" t="inlineStr">
        <is>
          <t>Educational content (nutrition tips) builds longer-term retention</t>
        </is>
      </c>
    </row>
    <row r="55">
      <c r="A55" s="4" t="inlineStr">
        <is>
          <t>CRE_054</t>
        </is>
      </c>
      <c r="B55" s="4" t="inlineStr">
        <is>
          <t>Creative_54</t>
        </is>
      </c>
      <c r="C55" s="4" t="inlineStr">
        <is>
          <t>TikTok</t>
        </is>
      </c>
      <c r="D55" s="4" t="inlineStr">
        <is>
          <t>Video</t>
        </is>
      </c>
      <c r="E55" s="4" t="inlineStr">
        <is>
          <t>Product</t>
        </is>
      </c>
      <c r="F55" s="4" t="n">
        <v>3</v>
      </c>
      <c r="G55" s="4" t="inlineStr">
        <is>
          <t>2024-09-17</t>
        </is>
      </c>
      <c r="H55" s="4" t="inlineStr">
        <is>
          <t>2024-09-15</t>
        </is>
      </c>
      <c r="I55" s="4" t="inlineStr">
        <is>
          <t>Lapsed Subscriber</t>
        </is>
      </c>
      <c r="J55" s="5">
        <f>503.86</f>
        <v/>
      </c>
      <c r="K55" s="5" t="n">
        <v>9528</v>
      </c>
      <c r="L55" s="5">
        <f>ROUND(1.005430549009494,2)</f>
        <v/>
      </c>
      <c r="M55" s="5" t="n">
        <v>7</v>
      </c>
      <c r="N55" s="5">
        <f>ROUND(7.368421052631578,2)</f>
        <v/>
      </c>
      <c r="O55" s="5">
        <f>ROUND(4.596582723507985,2)</f>
        <v/>
      </c>
      <c r="P55" s="5">
        <f>IF(M55&gt;0,ROUND(J55/M55,2),999)</f>
        <v/>
      </c>
      <c r="Q55" s="5">
        <f>ROUND(1.39,2)</f>
        <v/>
      </c>
      <c r="R55" s="4" t="inlineStr">
        <is>
          <t>Inventory Issue</t>
        </is>
      </c>
      <c r="S55" s="4" t="inlineStr">
        <is>
          <t>N</t>
        </is>
      </c>
      <c r="T55" s="4" t="inlineStr">
        <is>
          <t>Educational content (nutrition tips) builds longer-term retention</t>
        </is>
      </c>
    </row>
    <row r="56">
      <c r="A56" s="2" t="inlineStr">
        <is>
          <t>CRE_055</t>
        </is>
      </c>
      <c r="B56" s="2" t="inlineStr">
        <is>
          <t>Creative_55</t>
        </is>
      </c>
      <c r="C56" s="2" t="inlineStr">
        <is>
          <t>Google Shopping</t>
        </is>
      </c>
      <c r="D56" s="2" t="inlineStr">
        <is>
          <t>Shopping</t>
        </is>
      </c>
      <c r="E56" s="2" t="inlineStr">
        <is>
          <t>Educational</t>
        </is>
      </c>
      <c r="F56" s="2" t="n">
        <v>3</v>
      </c>
      <c r="G56" s="2" t="inlineStr">
        <is>
          <t>2024-07-25</t>
        </is>
      </c>
      <c r="H56" s="2" t="inlineStr">
        <is>
          <t>2024-07-17</t>
        </is>
      </c>
      <c r="I56" s="2" t="inlineStr">
        <is>
          <t>Gift Purchaser</t>
        </is>
      </c>
      <c r="J56" s="3">
        <f>1767.22</f>
        <v/>
      </c>
      <c r="K56" s="3" t="n">
        <v>23042</v>
      </c>
      <c r="L56" s="3">
        <f>ROUND(3.817387628422718,2)</f>
        <v/>
      </c>
      <c r="M56" s="3" t="n">
        <v>81</v>
      </c>
      <c r="N56" s="3">
        <f>ROUND(9.215017064846416,2)</f>
        <v/>
      </c>
      <c r="O56" s="3">
        <f>ROUND(3.1818755022393663,2)</f>
        <v/>
      </c>
      <c r="P56" s="3">
        <f>IF(M56&gt;0,ROUND(J56/M56,2),999)</f>
        <v/>
      </c>
      <c r="Q56" s="3">
        <f>ROUND(3.31,2)</f>
        <v/>
      </c>
      <c r="R56" s="2" t="inlineStr">
        <is>
          <t>Test-Complete</t>
        </is>
      </c>
      <c r="S56" s="2" t="inlineStr">
        <is>
          <t>N</t>
        </is>
      </c>
      <c r="T56" s="2" t="inlineStr">
        <is>
          <t>Seasonal messaging (Spring/Eco) achieved 4.9x ROAS</t>
        </is>
      </c>
    </row>
    <row r="57">
      <c r="A57" s="4" t="inlineStr">
        <is>
          <t>CRE_056</t>
        </is>
      </c>
      <c r="B57" s="4" t="inlineStr">
        <is>
          <t>Creative_56</t>
        </is>
      </c>
      <c r="C57" s="4" t="inlineStr">
        <is>
          <t>Google Shopping</t>
        </is>
      </c>
      <c r="D57" s="4" t="inlineStr">
        <is>
          <t>Reel</t>
        </is>
      </c>
      <c r="E57" s="4" t="inlineStr">
        <is>
          <t>Lifestyle</t>
        </is>
      </c>
      <c r="F57" s="4" t="n">
        <v>4</v>
      </c>
      <c r="G57" s="4" t="inlineStr">
        <is>
          <t>2024-11-22</t>
        </is>
      </c>
      <c r="H57" s="4" t="inlineStr">
        <is>
          <t>2024-11-21</t>
        </is>
      </c>
      <c r="I57" s="4" t="inlineStr">
        <is>
          <t>Eco-Minded Family</t>
        </is>
      </c>
      <c r="J57" s="5">
        <f>663.11</f>
        <v/>
      </c>
      <c r="K57" s="5" t="n">
        <v>8003</v>
      </c>
      <c r="L57" s="5">
        <f>ROUND(2.2271898094917546,2)</f>
        <v/>
      </c>
      <c r="M57" s="5" t="n">
        <v>13</v>
      </c>
      <c r="N57" s="5">
        <f>ROUND(7.303370786516854,2)</f>
        <v/>
      </c>
      <c r="O57" s="5">
        <f>ROUND(3.197600280265149,2)</f>
        <v/>
      </c>
      <c r="P57" s="5">
        <f>IF(M57&gt;0,ROUND(J57/M57,2),999)</f>
        <v/>
      </c>
      <c r="Q57" s="5">
        <f>ROUND(3.05,2)</f>
        <v/>
      </c>
      <c r="R57" s="4" t="inlineStr">
        <is>
          <t>Budget</t>
        </is>
      </c>
      <c r="S57" s="4" t="inlineStr">
        <is>
          <t>N</t>
        </is>
      </c>
      <c r="T57" s="4" t="inlineStr">
        <is>
          <t>Video format shows 2.3x higher CVR than static images</t>
        </is>
      </c>
    </row>
    <row r="58">
      <c r="A58" s="2" t="inlineStr">
        <is>
          <t>CRE_057</t>
        </is>
      </c>
      <c r="B58" s="2" t="inlineStr">
        <is>
          <t>Creative_57</t>
        </is>
      </c>
      <c r="C58" s="2" t="inlineStr">
        <is>
          <t>Google Search</t>
        </is>
      </c>
      <c r="D58" s="2" t="inlineStr">
        <is>
          <t>Story</t>
        </is>
      </c>
      <c r="E58" s="2" t="inlineStr">
        <is>
          <t>Lifestyle</t>
        </is>
      </c>
      <c r="F58" s="2" t="n">
        <v>4</v>
      </c>
      <c r="G58" s="2" t="inlineStr">
        <is>
          <t>2024-10-19</t>
        </is>
      </c>
      <c r="H58" s="2" t="inlineStr">
        <is>
          <t>2024-11-04</t>
        </is>
      </c>
      <c r="I58" s="2" t="inlineStr">
        <is>
          <t>Health-Conscious Professional</t>
        </is>
      </c>
      <c r="J58" s="3">
        <f>1727.91</f>
        <v/>
      </c>
      <c r="K58" s="3" t="n">
        <v>26366</v>
      </c>
      <c r="L58" s="3">
        <f>ROUND(4.260694488779295,2)</f>
        <v/>
      </c>
      <c r="M58" s="3" t="n">
        <v>114</v>
      </c>
      <c r="N58" s="3">
        <f>ROUND(10.151380231522706,2)</f>
        <v/>
      </c>
      <c r="O58" s="3">
        <f>ROUND(2.0296439131454718,2)</f>
        <v/>
      </c>
      <c r="P58" s="3">
        <f>IF(M58&gt;0,ROUND(J58/M58,2),999)</f>
        <v/>
      </c>
      <c r="Q58" s="3">
        <f>ROUND(1.5,2)</f>
        <v/>
      </c>
      <c r="R58" s="2" t="inlineStr">
        <is>
          <t>Test-Complete</t>
        </is>
      </c>
      <c r="S58" s="2" t="inlineStr">
        <is>
          <t>N</t>
        </is>
      </c>
      <c r="T58" s="2" t="inlineStr">
        <is>
          <t>Gift messaging increases AOV by 15% in Q4</t>
        </is>
      </c>
    </row>
    <row r="59">
      <c r="A59" s="4" t="inlineStr">
        <is>
          <t>CRE_058</t>
        </is>
      </c>
      <c r="B59" s="4" t="inlineStr">
        <is>
          <t>Creative_58</t>
        </is>
      </c>
      <c r="C59" s="4" t="inlineStr">
        <is>
          <t>YouTube</t>
        </is>
      </c>
      <c r="D59" s="4" t="inlineStr">
        <is>
          <t>Video</t>
        </is>
      </c>
      <c r="E59" s="4" t="inlineStr">
        <is>
          <t>Promotional</t>
        </is>
      </c>
      <c r="F59" s="4" t="n">
        <v>4</v>
      </c>
      <c r="G59" s="4" t="inlineStr">
        <is>
          <t>2024-12-16</t>
        </is>
      </c>
      <c r="H59" s="4" t="inlineStr">
        <is>
          <t>2024-12-14</t>
        </is>
      </c>
      <c r="I59" s="4" t="inlineStr">
        <is>
          <t>Fitness Enthusiast</t>
        </is>
      </c>
      <c r="J59" s="5">
        <f>4858.49</f>
        <v/>
      </c>
      <c r="K59" s="5" t="n">
        <v>77692</v>
      </c>
      <c r="L59" s="5">
        <f>ROUND(4.245585699086316,2)</f>
        <v/>
      </c>
      <c r="M59" s="5" t="n">
        <v>178</v>
      </c>
      <c r="N59" s="5">
        <f>ROUND(5.3972104305639785,2)</f>
        <v/>
      </c>
      <c r="O59" s="5">
        <f>ROUND(3.7486507785175376,2)</f>
        <v/>
      </c>
      <c r="P59" s="5">
        <f>IF(M59&gt;0,ROUND(J59/M59,2),999)</f>
        <v/>
      </c>
      <c r="Q59" s="5">
        <f>ROUND(1.62,2)</f>
        <v/>
      </c>
      <c r="R59" s="4" t="inlineStr">
        <is>
          <t>Seasonal</t>
        </is>
      </c>
      <c r="S59" s="4" t="inlineStr">
        <is>
          <t>Y</t>
        </is>
      </c>
      <c r="T59" s="4" t="inlineStr">
        <is>
          <t>Video format shows 2.3x higher CVR than static images</t>
        </is>
      </c>
    </row>
    <row r="60">
      <c r="A60" s="2" t="inlineStr">
        <is>
          <t>CRE_059</t>
        </is>
      </c>
      <c r="B60" s="2" t="inlineStr">
        <is>
          <t>Creative_59</t>
        </is>
      </c>
      <c r="C60" s="2" t="inlineStr">
        <is>
          <t>Google Shopping</t>
        </is>
      </c>
      <c r="D60" s="2" t="inlineStr">
        <is>
          <t>Carousel</t>
        </is>
      </c>
      <c r="E60" s="2" t="inlineStr">
        <is>
          <t>Seasonal</t>
        </is>
      </c>
      <c r="F60" s="2" t="n">
        <v>4</v>
      </c>
      <c r="G60" s="2" t="inlineStr">
        <is>
          <t>2024-10-03</t>
        </is>
      </c>
      <c r="H60" s="2" t="inlineStr">
        <is>
          <t>2024-10-27</t>
        </is>
      </c>
      <c r="I60" s="2" t="inlineStr">
        <is>
          <t>Gift Purchaser</t>
        </is>
      </c>
      <c r="J60" s="3">
        <f>2024.94</f>
        <v/>
      </c>
      <c r="K60" s="3" t="n">
        <v>28337</v>
      </c>
      <c r="L60" s="3">
        <f>ROUND(3.868796038895219,2)</f>
        <v/>
      </c>
      <c r="M60" s="3" t="n">
        <v>75</v>
      </c>
      <c r="N60" s="3">
        <f>ROUND(6.843065693430657,2)</f>
        <v/>
      </c>
      <c r="O60" s="3">
        <f>ROUND(1.873359563951121,2)</f>
        <v/>
      </c>
      <c r="P60" s="3">
        <f>IF(M60&gt;0,ROUND(J60/M60,2),999)</f>
        <v/>
      </c>
      <c r="Q60" s="3">
        <f>ROUND(2.38,2)</f>
        <v/>
      </c>
      <c r="R60" s="2" t="inlineStr">
        <is>
          <t>Inventory Issue</t>
        </is>
      </c>
      <c r="S60" s="2" t="inlineStr">
        <is>
          <t>N</t>
        </is>
      </c>
      <c r="T60" s="2" t="inlineStr">
        <is>
          <t>Seasonal box creative timed to holidays drives pre-orders</t>
        </is>
      </c>
    </row>
    <row r="61">
      <c r="A61" s="4" t="inlineStr">
        <is>
          <t>CRE_060</t>
        </is>
      </c>
      <c r="B61" s="4" t="inlineStr">
        <is>
          <t>Creative_60</t>
        </is>
      </c>
      <c r="C61" s="4" t="inlineStr">
        <is>
          <t>Google Search</t>
        </is>
      </c>
      <c r="D61" s="4" t="inlineStr">
        <is>
          <t>Carousel</t>
        </is>
      </c>
      <c r="E61" s="4" t="inlineStr">
        <is>
          <t>Seasonal</t>
        </is>
      </c>
      <c r="F61" s="4" t="n">
        <v>4</v>
      </c>
      <c r="G61" s="4" t="inlineStr">
        <is>
          <t>2024-12-15</t>
        </is>
      </c>
      <c r="H61" s="4" t="inlineStr">
        <is>
          <t>2024-12-28</t>
        </is>
      </c>
      <c r="I61" s="4" t="inlineStr">
        <is>
          <t>Fitness Enthusiast</t>
        </is>
      </c>
      <c r="J61" s="5">
        <f>4514.42</f>
        <v/>
      </c>
      <c r="K61" s="5" t="n">
        <v>43701</v>
      </c>
      <c r="L61" s="5">
        <f>ROUND(3.6303813960625853,2)</f>
        <v/>
      </c>
      <c r="M61" s="5" t="n">
        <v>174</v>
      </c>
      <c r="N61" s="5">
        <f>ROUND(10.970996216897856,2)</f>
        <v/>
      </c>
      <c r="O61" s="5">
        <f>ROUND(3.449561028345813,2)</f>
        <v/>
      </c>
      <c r="P61" s="5">
        <f>IF(M61&gt;0,ROUND(J61/M61,2),999)</f>
        <v/>
      </c>
      <c r="Q61" s="5">
        <f>ROUND(3.54,2)</f>
        <v/>
      </c>
      <c r="R61" s="4" t="inlineStr">
        <is>
          <t>Seasonal</t>
        </is>
      </c>
      <c r="S61" s="4" t="inlineStr">
        <is>
          <t>N</t>
        </is>
      </c>
      <c r="T61" s="4" t="inlineStr">
        <is>
          <t>Educational content (nutrition tips) builds longer-term retention</t>
        </is>
      </c>
    </row>
    <row r="62">
      <c r="A62" s="2" t="inlineStr">
        <is>
          <t>CRE_061</t>
        </is>
      </c>
      <c r="B62" s="2" t="inlineStr">
        <is>
          <t>Creative_61</t>
        </is>
      </c>
      <c r="C62" s="2" t="inlineStr">
        <is>
          <t>Google Shopping</t>
        </is>
      </c>
      <c r="D62" s="2" t="inlineStr">
        <is>
          <t>Image</t>
        </is>
      </c>
      <c r="E62" s="2" t="inlineStr">
        <is>
          <t>UGC</t>
        </is>
      </c>
      <c r="F62" s="2" t="n">
        <v>1</v>
      </c>
      <c r="G62" s="2" t="inlineStr">
        <is>
          <t>2024-02-12</t>
        </is>
      </c>
      <c r="H62" s="2" t="inlineStr">
        <is>
          <t>2024-02-11</t>
        </is>
      </c>
      <c r="I62" s="2" t="inlineStr">
        <is>
          <t>Gift Purchaser</t>
        </is>
      </c>
      <c r="J62" s="3">
        <f>3241.12</f>
        <v/>
      </c>
      <c r="K62" s="3" t="n">
        <v>47222</v>
      </c>
      <c r="L62" s="3">
        <f>ROUND(3.6647948552967846,2)</f>
        <v/>
      </c>
      <c r="M62" s="3" t="n">
        <v>198</v>
      </c>
      <c r="N62" s="3">
        <f>ROUND(11.445086705202312,2)</f>
        <v/>
      </c>
      <c r="O62" s="3">
        <f>ROUND(4.576054702398001,2)</f>
        <v/>
      </c>
      <c r="P62" s="3">
        <f>IF(M62&gt;0,ROUND(J62/M62,2),999)</f>
        <v/>
      </c>
      <c r="Q62" s="3">
        <f>ROUND(1.75,2)</f>
        <v/>
      </c>
      <c r="R62" s="2" t="inlineStr">
        <is>
          <t>Inventory Issue</t>
        </is>
      </c>
      <c r="S62" s="2" t="inlineStr">
        <is>
          <t>Y</t>
        </is>
      </c>
      <c r="T62" s="2" t="inlineStr">
        <is>
          <t>Mobile-first design improves CTR by 12%</t>
        </is>
      </c>
    </row>
    <row r="63">
      <c r="A63" s="4" t="inlineStr">
        <is>
          <t>CRE_062</t>
        </is>
      </c>
      <c r="B63" s="4" t="inlineStr">
        <is>
          <t>Creative_62</t>
        </is>
      </c>
      <c r="C63" s="4" t="inlineStr">
        <is>
          <t>Meta</t>
        </is>
      </c>
      <c r="D63" s="4" t="inlineStr">
        <is>
          <t>Image</t>
        </is>
      </c>
      <c r="E63" s="4" t="inlineStr">
        <is>
          <t>Seasonal</t>
        </is>
      </c>
      <c r="F63" s="4" t="n">
        <v>1</v>
      </c>
      <c r="G63" s="4" t="inlineStr">
        <is>
          <t>2024-02-23</t>
        </is>
      </c>
      <c r="H63" s="4" t="inlineStr">
        <is>
          <t>2024-03-21</t>
        </is>
      </c>
      <c r="I63" s="4" t="inlineStr">
        <is>
          <t>Fitness Enthusiast</t>
        </is>
      </c>
      <c r="J63" s="5">
        <f>3868.47</f>
        <v/>
      </c>
      <c r="K63" s="5" t="n">
        <v>53818</v>
      </c>
      <c r="L63" s="5">
        <f>ROUND(1.4010220238284483,2)</f>
        <v/>
      </c>
      <c r="M63" s="5" t="n">
        <v>70</v>
      </c>
      <c r="N63" s="5">
        <f>ROUND(9.283819628647215,2)</f>
        <v/>
      </c>
      <c r="O63" s="5">
        <f>ROUND(3.003441638015982,2)</f>
        <v/>
      </c>
      <c r="P63" s="5">
        <f>IF(M63&gt;0,ROUND(J63/M63,2),999)</f>
        <v/>
      </c>
      <c r="Q63" s="5">
        <f>ROUND(2.45,2)</f>
        <v/>
      </c>
      <c r="R63" s="4" t="inlineStr">
        <is>
          <t>Test-Complete</t>
        </is>
      </c>
      <c r="S63" s="4" t="inlineStr">
        <is>
          <t>N</t>
        </is>
      </c>
      <c r="T63" s="4" t="inlineStr">
        <is>
          <t>UGC content outperforms staged product photography by 18%</t>
        </is>
      </c>
    </row>
    <row r="64">
      <c r="A64" s="2" t="inlineStr">
        <is>
          <t>CRE_063</t>
        </is>
      </c>
      <c r="B64" s="2" t="inlineStr">
        <is>
          <t>Creative_63</t>
        </is>
      </c>
      <c r="C64" s="2" t="inlineStr">
        <is>
          <t>YouTube</t>
        </is>
      </c>
      <c r="D64" s="2" t="inlineStr">
        <is>
          <t>Video</t>
        </is>
      </c>
      <c r="E64" s="2" t="inlineStr">
        <is>
          <t>Promotional</t>
        </is>
      </c>
      <c r="F64" s="2" t="n">
        <v>1</v>
      </c>
      <c r="G64" s="2" t="inlineStr">
        <is>
          <t>2024-03-04</t>
        </is>
      </c>
      <c r="H64" s="2" t="inlineStr">
        <is>
          <t>2024-03-11</t>
        </is>
      </c>
      <c r="I64" s="2" t="inlineStr">
        <is>
          <t>Eco-Minded Family</t>
        </is>
      </c>
      <c r="J64" s="3">
        <f>4043.19</f>
        <v/>
      </c>
      <c r="K64" s="3" t="n">
        <v>42347</v>
      </c>
      <c r="L64" s="3">
        <f>ROUND(1.594500003909542,2)</f>
        <v/>
      </c>
      <c r="M64" s="3" t="n">
        <v>58</v>
      </c>
      <c r="N64" s="3">
        <f>ROUND(8.592592592592592,2)</f>
        <v/>
      </c>
      <c r="O64" s="3">
        <f>ROUND(3.91706924766373,2)</f>
        <v/>
      </c>
      <c r="P64" s="3">
        <f>IF(M64&gt;0,ROUND(J64/M64,2),999)</f>
        <v/>
      </c>
      <c r="Q64" s="3">
        <f>ROUND(1.87,2)</f>
        <v/>
      </c>
      <c r="R64" s="2" t="inlineStr">
        <is>
          <t>Budget</t>
        </is>
      </c>
      <c r="S64" s="2" t="inlineStr">
        <is>
          <t>N</t>
        </is>
      </c>
      <c r="T64" s="2" t="inlineStr">
        <is>
          <t>Seasonal messaging (Spring/Eco) achieved 4.9x ROAS</t>
        </is>
      </c>
    </row>
    <row r="65">
      <c r="A65" s="4" t="inlineStr">
        <is>
          <t>CRE_064</t>
        </is>
      </c>
      <c r="B65" s="4" t="inlineStr">
        <is>
          <t>Creative_64</t>
        </is>
      </c>
      <c r="C65" s="4" t="inlineStr">
        <is>
          <t>Google Shopping</t>
        </is>
      </c>
      <c r="D65" s="4" t="inlineStr">
        <is>
          <t>Story</t>
        </is>
      </c>
      <c r="E65" s="4" t="inlineStr">
        <is>
          <t>Product</t>
        </is>
      </c>
      <c r="F65" s="4" t="n">
        <v>1</v>
      </c>
      <c r="G65" s="4" t="inlineStr">
        <is>
          <t>2024-03-05</t>
        </is>
      </c>
      <c r="H65" s="4" t="inlineStr">
        <is>
          <t>2024-04-19</t>
        </is>
      </c>
      <c r="I65" s="4" t="inlineStr">
        <is>
          <t>Gift Purchaser</t>
        </is>
      </c>
      <c r="J65" s="5">
        <f>3944.48</f>
        <v/>
      </c>
      <c r="K65" s="5" t="n">
        <v>47311</v>
      </c>
      <c r="L65" s="5">
        <f>ROUND(4.208971328219908,2)</f>
        <v/>
      </c>
      <c r="M65" s="5" t="n">
        <v>183</v>
      </c>
      <c r="N65" s="5">
        <f>ROUND(9.191361125062784,2)</f>
        <v/>
      </c>
      <c r="O65" s="5">
        <f>ROUND(4.760112944279999,2)</f>
        <v/>
      </c>
      <c r="P65" s="5">
        <f>IF(M65&gt;0,ROUND(J65/M65,2),999)</f>
        <v/>
      </c>
      <c r="Q65" s="5">
        <f>ROUND(2.79,2)</f>
        <v/>
      </c>
      <c r="R65" s="4" t="inlineStr">
        <is>
          <t>Test-Complete</t>
        </is>
      </c>
      <c r="S65" s="4" t="inlineStr">
        <is>
          <t>Y</t>
        </is>
      </c>
      <c r="T65" s="4" t="inlineStr">
        <is>
          <t>Lifestyle imagery (cooking) outperforms product shots</t>
        </is>
      </c>
    </row>
    <row r="66">
      <c r="A66" s="2" t="inlineStr">
        <is>
          <t>CRE_065</t>
        </is>
      </c>
      <c r="B66" s="2" t="inlineStr">
        <is>
          <t>Creative_65</t>
        </is>
      </c>
      <c r="C66" s="2" t="inlineStr">
        <is>
          <t>YouTube</t>
        </is>
      </c>
      <c r="D66" s="2" t="inlineStr">
        <is>
          <t>Reel</t>
        </is>
      </c>
      <c r="E66" s="2" t="inlineStr">
        <is>
          <t>Educational</t>
        </is>
      </c>
      <c r="F66" s="2" t="n">
        <v>1</v>
      </c>
      <c r="G66" s="2" t="inlineStr">
        <is>
          <t>2024-03-21</t>
        </is>
      </c>
      <c r="H66" s="2" t="inlineStr">
        <is>
          <t>2024-03-08</t>
        </is>
      </c>
      <c r="I66" s="2" t="inlineStr">
        <is>
          <t>Gift Purchaser</t>
        </is>
      </c>
      <c r="J66" s="3">
        <f>2707.97</f>
        <v/>
      </c>
      <c r="K66" s="3" t="n">
        <v>39439</v>
      </c>
      <c r="L66" s="3">
        <f>ROUND(1.97072898227192,2)</f>
        <v/>
      </c>
      <c r="M66" s="3" t="n">
        <v>78</v>
      </c>
      <c r="N66" s="3">
        <f>ROUND(10.038610038610038,2)</f>
        <v/>
      </c>
      <c r="O66" s="3">
        <f>ROUND(3.4993130591165205,2)</f>
        <v/>
      </c>
      <c r="P66" s="3">
        <f>IF(M66&gt;0,ROUND(J66/M66,2),999)</f>
        <v/>
      </c>
      <c r="Q66" s="3">
        <f>ROUND(1.74,2)</f>
        <v/>
      </c>
      <c r="R66" s="2" t="inlineStr">
        <is>
          <t>Budget</t>
        </is>
      </c>
      <c r="S66" s="2" t="inlineStr">
        <is>
          <t>N</t>
        </is>
      </c>
      <c r="T66" s="2" t="inlineStr">
        <is>
          <t>Story format shows highest engagement on Meta platforms</t>
        </is>
      </c>
    </row>
    <row r="67">
      <c r="A67" s="4" t="inlineStr">
        <is>
          <t>CRE_066</t>
        </is>
      </c>
      <c r="B67" s="4" t="inlineStr">
        <is>
          <t>Creative_66</t>
        </is>
      </c>
      <c r="C67" s="4" t="inlineStr">
        <is>
          <t>Google Search</t>
        </is>
      </c>
      <c r="D67" s="4" t="inlineStr">
        <is>
          <t>Video</t>
        </is>
      </c>
      <c r="E67" s="4" t="inlineStr">
        <is>
          <t>Lifestyle</t>
        </is>
      </c>
      <c r="F67" s="4" t="n">
        <v>2</v>
      </c>
      <c r="G67" s="4" t="inlineStr">
        <is>
          <t>2024-05-23</t>
        </is>
      </c>
      <c r="H67" s="4" t="inlineStr">
        <is>
          <t>2024-05-28</t>
        </is>
      </c>
      <c r="I67" s="4" t="inlineStr">
        <is>
          <t>Health-Conscious Professional</t>
        </is>
      </c>
      <c r="J67" s="5">
        <f>984.16</f>
        <v/>
      </c>
      <c r="K67" s="5" t="n">
        <v>18089</v>
      </c>
      <c r="L67" s="5">
        <f>ROUND(4.29851468109938,2)</f>
        <v/>
      </c>
      <c r="M67" s="5" t="n">
        <v>84</v>
      </c>
      <c r="N67" s="5">
        <f>ROUND(10.81081081081081,2)</f>
        <v/>
      </c>
      <c r="O67" s="5">
        <f>ROUND(2.494338166341545,2)</f>
        <v/>
      </c>
      <c r="P67" s="5">
        <f>IF(M67&gt;0,ROUND(J67/M67,2),999)</f>
        <v/>
      </c>
      <c r="Q67" s="5">
        <f>ROUND(1.96,2)</f>
        <v/>
      </c>
      <c r="R67" s="4" t="inlineStr">
        <is>
          <t>Inventory Issue</t>
        </is>
      </c>
      <c r="S67" s="4" t="inlineStr">
        <is>
          <t>N</t>
        </is>
      </c>
      <c r="T67" s="4" t="inlineStr">
        <is>
          <t>Story format shows highest engagement on Meta platforms</t>
        </is>
      </c>
    </row>
    <row r="68">
      <c r="A68" s="2" t="inlineStr">
        <is>
          <t>CRE_067</t>
        </is>
      </c>
      <c r="B68" s="2" t="inlineStr">
        <is>
          <t>Creative_67</t>
        </is>
      </c>
      <c r="C68" s="2" t="inlineStr">
        <is>
          <t>YouTube</t>
        </is>
      </c>
      <c r="D68" s="2" t="inlineStr">
        <is>
          <t>Story</t>
        </is>
      </c>
      <c r="E68" s="2" t="inlineStr">
        <is>
          <t>Product</t>
        </is>
      </c>
      <c r="F68" s="2" t="n">
        <v>2</v>
      </c>
      <c r="G68" s="2" t="inlineStr">
        <is>
          <t>2024-05-24</t>
        </is>
      </c>
      <c r="H68" s="2" t="inlineStr">
        <is>
          <t>2024-06-03</t>
        </is>
      </c>
      <c r="I68" s="2" t="inlineStr">
        <is>
          <t>Lapsed Subscriber</t>
        </is>
      </c>
      <c r="J68" s="3">
        <f>2870.12</f>
        <v/>
      </c>
      <c r="K68" s="3" t="n">
        <v>47946</v>
      </c>
      <c r="L68" s="3">
        <f>ROUND(3.011642453862785,2)</f>
        <v/>
      </c>
      <c r="M68" s="3" t="n">
        <v>89</v>
      </c>
      <c r="N68" s="3">
        <f>ROUND(6.167706167706168,2)</f>
        <v/>
      </c>
      <c r="O68" s="3">
        <f>ROUND(3.992863367830573,2)</f>
        <v/>
      </c>
      <c r="P68" s="3">
        <f>IF(M68&gt;0,ROUND(J68/M68,2),999)</f>
        <v/>
      </c>
      <c r="Q68" s="3">
        <f>ROUND(1.64,2)</f>
        <v/>
      </c>
      <c r="R68" s="2" t="inlineStr">
        <is>
          <t>Budget</t>
        </is>
      </c>
      <c r="S68" s="2" t="inlineStr">
        <is>
          <t>N</t>
        </is>
      </c>
      <c r="T68" s="2" t="inlineStr">
        <is>
          <t>Seasonal box creative timed to holidays drives pre-orders</t>
        </is>
      </c>
    </row>
    <row r="69">
      <c r="A69" s="4" t="inlineStr">
        <is>
          <t>CRE_068</t>
        </is>
      </c>
      <c r="B69" s="4" t="inlineStr">
        <is>
          <t>Creative_68</t>
        </is>
      </c>
      <c r="C69" s="4" t="inlineStr">
        <is>
          <t>Google Search</t>
        </is>
      </c>
      <c r="D69" s="4" t="inlineStr">
        <is>
          <t>Image</t>
        </is>
      </c>
      <c r="E69" s="4" t="inlineStr">
        <is>
          <t>UGC</t>
        </is>
      </c>
      <c r="F69" s="4" t="n">
        <v>2</v>
      </c>
      <c r="G69" s="4" t="inlineStr">
        <is>
          <t>2024-04-07</t>
        </is>
      </c>
      <c r="H69" s="4" t="inlineStr">
        <is>
          <t>2024-04-04</t>
        </is>
      </c>
      <c r="I69" s="4" t="inlineStr">
        <is>
          <t>Health-Conscious Professional</t>
        </is>
      </c>
      <c r="J69" s="5">
        <f>3681.79</f>
        <v/>
      </c>
      <c r="K69" s="5" t="n">
        <v>61889</v>
      </c>
      <c r="L69" s="5">
        <f>ROUND(3.668464665304009,2)</f>
        <v/>
      </c>
      <c r="M69" s="5" t="n">
        <v>183</v>
      </c>
      <c r="N69" s="5">
        <f>ROUND(8.061674008810572,2)</f>
        <v/>
      </c>
      <c r="O69" s="5">
        <f>ROUND(1.8557918073531925,2)</f>
        <v/>
      </c>
      <c r="P69" s="5">
        <f>IF(M69&gt;0,ROUND(J69/M69,2),999)</f>
        <v/>
      </c>
      <c r="Q69" s="5">
        <f>ROUND(3.71,2)</f>
        <v/>
      </c>
      <c r="R69" s="4" t="inlineStr">
        <is>
          <t>Seasonal</t>
        </is>
      </c>
      <c r="S69" s="4" t="inlineStr">
        <is>
          <t>N</t>
        </is>
      </c>
      <c r="T69" s="4" t="inlineStr">
        <is>
          <t>Video format shows 2.3x higher CVR than static images</t>
        </is>
      </c>
    </row>
    <row r="70">
      <c r="A70" s="2" t="inlineStr">
        <is>
          <t>CRE_069</t>
        </is>
      </c>
      <c r="B70" s="2" t="inlineStr">
        <is>
          <t>Creative_69</t>
        </is>
      </c>
      <c r="C70" s="2" t="inlineStr">
        <is>
          <t>Google Shopping</t>
        </is>
      </c>
      <c r="D70" s="2" t="inlineStr">
        <is>
          <t>Image</t>
        </is>
      </c>
      <c r="E70" s="2" t="inlineStr">
        <is>
          <t>Promotional</t>
        </is>
      </c>
      <c r="F70" s="2" t="n">
        <v>2</v>
      </c>
      <c r="G70" s="2" t="inlineStr">
        <is>
          <t>2024-04-23</t>
        </is>
      </c>
      <c r="H70" s="2" t="inlineStr">
        <is>
          <t>2024-05-27</t>
        </is>
      </c>
      <c r="I70" s="2" t="inlineStr">
        <is>
          <t>Gift Purchaser</t>
        </is>
      </c>
      <c r="J70" s="3">
        <f>4199.67</f>
        <v/>
      </c>
      <c r="K70" s="3" t="n">
        <v>50869</v>
      </c>
      <c r="L70" s="3">
        <f>ROUND(2.6975164705301222,2)</f>
        <v/>
      </c>
      <c r="M70" s="3" t="n">
        <v>125</v>
      </c>
      <c r="N70" s="3">
        <f>ROUND(9.110787172011662,2)</f>
        <v/>
      </c>
      <c r="O70" s="3">
        <f>ROUND(2.2966496154147706,2)</f>
        <v/>
      </c>
      <c r="P70" s="3">
        <f>IF(M70&gt;0,ROUND(J70/M70,2),999)</f>
        <v/>
      </c>
      <c r="Q70" s="3">
        <f>ROUND(2.9,2)</f>
        <v/>
      </c>
      <c r="R70" s="2" t="inlineStr">
        <is>
          <t>Test-Complete</t>
        </is>
      </c>
      <c r="S70" s="2" t="inlineStr">
        <is>
          <t>N</t>
        </is>
      </c>
      <c r="T70" s="2" t="inlineStr">
        <is>
          <t>Mobile-first design improves CTR by 12%</t>
        </is>
      </c>
    </row>
    <row r="71">
      <c r="A71" s="4" t="inlineStr">
        <is>
          <t>CRE_070</t>
        </is>
      </c>
      <c r="B71" s="4" t="inlineStr">
        <is>
          <t>Creative_70</t>
        </is>
      </c>
      <c r="C71" s="4" t="inlineStr">
        <is>
          <t>Google Search</t>
        </is>
      </c>
      <c r="D71" s="4" t="inlineStr">
        <is>
          <t>Video</t>
        </is>
      </c>
      <c r="E71" s="4" t="inlineStr">
        <is>
          <t>Lifestyle</t>
        </is>
      </c>
      <c r="F71" s="4" t="n">
        <v>2</v>
      </c>
      <c r="G71" s="4" t="inlineStr">
        <is>
          <t>2024-04-12</t>
        </is>
      </c>
      <c r="H71" s="4" t="inlineStr">
        <is>
          <t>2024-04-23</t>
        </is>
      </c>
      <c r="I71" s="4" t="inlineStr">
        <is>
          <t>Gift Purchaser</t>
        </is>
      </c>
      <c r="J71" s="5">
        <f>4517.99</f>
        <v/>
      </c>
      <c r="K71" s="5" t="n">
        <v>81288</v>
      </c>
      <c r="L71" s="5">
        <f>ROUND(3.429428347540473,2)</f>
        <v/>
      </c>
      <c r="M71" s="5" t="n">
        <v>193</v>
      </c>
      <c r="N71" s="5">
        <f>ROUND(6.925008970218874,2)</f>
        <v/>
      </c>
      <c r="O71" s="5">
        <f>ROUND(2.1972974174293314,2)</f>
        <v/>
      </c>
      <c r="P71" s="5">
        <f>IF(M71&gt;0,ROUND(J71/M71,2),999)</f>
        <v/>
      </c>
      <c r="Q71" s="5">
        <f>ROUND(3.14,2)</f>
        <v/>
      </c>
      <c r="R71" s="4" t="inlineStr">
        <is>
          <t>Test-Complete</t>
        </is>
      </c>
      <c r="S71" s="4" t="inlineStr">
        <is>
          <t>N</t>
        </is>
      </c>
      <c r="T71" s="4" t="inlineStr">
        <is>
          <t>Diversity in creative assets critical after 2 weeks of exposure</t>
        </is>
      </c>
    </row>
    <row r="72">
      <c r="A72" s="2" t="inlineStr">
        <is>
          <t>CRE_071</t>
        </is>
      </c>
      <c r="B72" s="2" t="inlineStr">
        <is>
          <t>Creative_71</t>
        </is>
      </c>
      <c r="C72" s="2" t="inlineStr">
        <is>
          <t>Google Shopping</t>
        </is>
      </c>
      <c r="D72" s="2" t="inlineStr">
        <is>
          <t>Shopping</t>
        </is>
      </c>
      <c r="E72" s="2" t="inlineStr">
        <is>
          <t>UGC</t>
        </is>
      </c>
      <c r="F72" s="2" t="n">
        <v>3</v>
      </c>
      <c r="G72" s="2" t="inlineStr">
        <is>
          <t>2024-08-12</t>
        </is>
      </c>
      <c r="H72" s="2" t="inlineStr">
        <is>
          <t>2024-08-25</t>
        </is>
      </c>
      <c r="I72" s="2" t="inlineStr">
        <is>
          <t>Health-Conscious Professional</t>
        </is>
      </c>
      <c r="J72" s="3">
        <f>2436.63</f>
        <v/>
      </c>
      <c r="K72" s="3" t="n">
        <v>40324</v>
      </c>
      <c r="L72" s="3">
        <f>ROUND(3.6844307487546537,2)</f>
        <v/>
      </c>
      <c r="M72" s="3" t="n">
        <v>131</v>
      </c>
      <c r="N72" s="3">
        <f>ROUND(8.821548821548822,2)</f>
        <v/>
      </c>
      <c r="O72" s="3">
        <f>ROUND(5.10144820544352,2)</f>
        <v/>
      </c>
      <c r="P72" s="3">
        <f>IF(M72&gt;0,ROUND(J72/M72,2),999)</f>
        <v/>
      </c>
      <c r="Q72" s="3">
        <f>ROUND(1.48,2)</f>
        <v/>
      </c>
      <c r="R72" s="2" t="inlineStr">
        <is>
          <t>Lower CTR</t>
        </is>
      </c>
      <c r="S72" s="2" t="inlineStr">
        <is>
          <t>Y</t>
        </is>
      </c>
      <c r="T72" s="2" t="inlineStr">
        <is>
          <t>Educational content (nutrition tips) builds longer-term retention</t>
        </is>
      </c>
    </row>
    <row r="73">
      <c r="A73" s="4" t="inlineStr">
        <is>
          <t>CRE_072</t>
        </is>
      </c>
      <c r="B73" s="4" t="inlineStr">
        <is>
          <t>Creative_72</t>
        </is>
      </c>
      <c r="C73" s="4" t="inlineStr">
        <is>
          <t>TikTok</t>
        </is>
      </c>
      <c r="D73" s="4" t="inlineStr">
        <is>
          <t>Reel</t>
        </is>
      </c>
      <c r="E73" s="4" t="inlineStr">
        <is>
          <t>UGC</t>
        </is>
      </c>
      <c r="F73" s="4" t="n">
        <v>3</v>
      </c>
      <c r="G73" s="4" t="inlineStr">
        <is>
          <t>2024-07-12</t>
        </is>
      </c>
      <c r="H73" s="4" t="inlineStr">
        <is>
          <t>2024-07-08</t>
        </is>
      </c>
      <c r="I73" s="4" t="inlineStr">
        <is>
          <t>Gift Purchaser</t>
        </is>
      </c>
      <c r="J73" s="5">
        <f>779.22</f>
        <v/>
      </c>
      <c r="K73" s="5" t="n">
        <v>14544</v>
      </c>
      <c r="L73" s="5">
        <f>ROUND(1.638367741999915,2)</f>
        <v/>
      </c>
      <c r="M73" s="5" t="n">
        <v>9</v>
      </c>
      <c r="N73" s="5">
        <f>ROUND(3.7815126050420167,2)</f>
        <v/>
      </c>
      <c r="O73" s="5">
        <f>ROUND(5.335541983890497,2)</f>
        <v/>
      </c>
      <c r="P73" s="5">
        <f>IF(M73&gt;0,ROUND(J73/M73,2),999)</f>
        <v/>
      </c>
      <c r="Q73" s="5">
        <f>ROUND(1.45,2)</f>
        <v/>
      </c>
      <c r="R73" s="4" t="inlineStr">
        <is>
          <t>Inventory Issue</t>
        </is>
      </c>
      <c r="S73" s="4" t="inlineStr">
        <is>
          <t>N</t>
        </is>
      </c>
      <c r="T73" s="4" t="inlineStr">
        <is>
          <t>UGC content outperforms staged product photography by 18%</t>
        </is>
      </c>
    </row>
    <row r="74">
      <c r="A74" s="2" t="inlineStr">
        <is>
          <t>CRE_073</t>
        </is>
      </c>
      <c r="B74" s="2" t="inlineStr">
        <is>
          <t>Creative_73</t>
        </is>
      </c>
      <c r="C74" s="2" t="inlineStr">
        <is>
          <t>Meta</t>
        </is>
      </c>
      <c r="D74" s="2" t="inlineStr">
        <is>
          <t>Image</t>
        </is>
      </c>
      <c r="E74" s="2" t="inlineStr">
        <is>
          <t>Product</t>
        </is>
      </c>
      <c r="F74" s="2" t="n">
        <v>3</v>
      </c>
      <c r="G74" s="2" t="inlineStr">
        <is>
          <t>2024-08-19</t>
        </is>
      </c>
      <c r="H74" s="2" t="inlineStr">
        <is>
          <t>2024-08-06</t>
        </is>
      </c>
      <c r="I74" s="2" t="inlineStr">
        <is>
          <t>Fitness Enthusiast</t>
        </is>
      </c>
      <c r="J74" s="3">
        <f>3770.79</f>
        <v/>
      </c>
      <c r="K74" s="3" t="n">
        <v>67843</v>
      </c>
      <c r="L74" s="3">
        <f>ROUND(3.137710997678568,2)</f>
        <v/>
      </c>
      <c r="M74" s="3" t="n">
        <v>146</v>
      </c>
      <c r="N74" s="3">
        <f>ROUND(6.860902255639098,2)</f>
        <v/>
      </c>
      <c r="O74" s="3">
        <f>ROUND(2.1140487201853615,2)</f>
        <v/>
      </c>
      <c r="P74" s="3">
        <f>IF(M74&gt;0,ROUND(J74/M74,2),999)</f>
        <v/>
      </c>
      <c r="Q74" s="3">
        <f>ROUND(3.69,2)</f>
        <v/>
      </c>
      <c r="R74" s="2" t="inlineStr">
        <is>
          <t>Inventory Issue</t>
        </is>
      </c>
      <c r="S74" s="2" t="inlineStr">
        <is>
          <t>N</t>
        </is>
      </c>
      <c r="T74" s="2" t="inlineStr">
        <is>
          <t>Lifestyle imagery (cooking) outperforms product shots</t>
        </is>
      </c>
    </row>
    <row r="75">
      <c r="A75" s="4" t="inlineStr">
        <is>
          <t>CRE_074</t>
        </is>
      </c>
      <c r="B75" s="4" t="inlineStr">
        <is>
          <t>Creative_74</t>
        </is>
      </c>
      <c r="C75" s="4" t="inlineStr">
        <is>
          <t>Google Search</t>
        </is>
      </c>
      <c r="D75" s="4" t="inlineStr">
        <is>
          <t>Reel</t>
        </is>
      </c>
      <c r="E75" s="4" t="inlineStr">
        <is>
          <t>Seasonal</t>
        </is>
      </c>
      <c r="F75" s="4" t="n">
        <v>3</v>
      </c>
      <c r="G75" s="4" t="inlineStr">
        <is>
          <t>2024-07-26</t>
        </is>
      </c>
      <c r="H75" s="4" t="inlineStr">
        <is>
          <t>2024-07-23</t>
        </is>
      </c>
      <c r="I75" s="4" t="inlineStr">
        <is>
          <t>Gift Purchaser</t>
        </is>
      </c>
      <c r="J75" s="5">
        <f>2234.39</f>
        <v/>
      </c>
      <c r="K75" s="5" t="n">
        <v>36729</v>
      </c>
      <c r="L75" s="5">
        <f>ROUND(0.7477984676008402,2)</f>
        <v/>
      </c>
      <c r="M75" s="5" t="n">
        <v>32</v>
      </c>
      <c r="N75" s="5">
        <f>ROUND(11.678832116788321,2)</f>
        <v/>
      </c>
      <c r="O75" s="5">
        <f>ROUND(4.118147461318104,2)</f>
        <v/>
      </c>
      <c r="P75" s="5">
        <f>IF(M75&gt;0,ROUND(J75/M75,2),999)</f>
        <v/>
      </c>
      <c r="Q75" s="5">
        <f>ROUND(3.48,2)</f>
        <v/>
      </c>
      <c r="R75" s="4" t="inlineStr">
        <is>
          <t>CAC Increase</t>
        </is>
      </c>
      <c r="S75" s="4" t="inlineStr">
        <is>
          <t>N</t>
        </is>
      </c>
      <c r="T75" s="4" t="inlineStr">
        <is>
          <t>Carousel ads reduce ad fatigue faster than single image</t>
        </is>
      </c>
    </row>
    <row r="76">
      <c r="A76" s="2" t="inlineStr">
        <is>
          <t>CRE_075</t>
        </is>
      </c>
      <c r="B76" s="2" t="inlineStr">
        <is>
          <t>Creative_75</t>
        </is>
      </c>
      <c r="C76" s="2" t="inlineStr">
        <is>
          <t>YouTube</t>
        </is>
      </c>
      <c r="D76" s="2" t="inlineStr">
        <is>
          <t>Story</t>
        </is>
      </c>
      <c r="E76" s="2" t="inlineStr">
        <is>
          <t>Educational</t>
        </is>
      </c>
      <c r="F76" s="2" t="n">
        <v>3</v>
      </c>
      <c r="G76" s="2" t="inlineStr">
        <is>
          <t>2024-08-06</t>
        </is>
      </c>
      <c r="H76" s="2" t="inlineStr">
        <is>
          <t>2024-08-08</t>
        </is>
      </c>
      <c r="I76" s="2" t="inlineStr">
        <is>
          <t>Gift Purchaser</t>
        </is>
      </c>
      <c r="J76" s="3">
        <f>3013.28</f>
        <v/>
      </c>
      <c r="K76" s="3" t="n">
        <v>51024</v>
      </c>
      <c r="L76" s="3">
        <f>ROUND(1.0950435907266973,2)</f>
        <v/>
      </c>
      <c r="M76" s="3" t="n">
        <v>30</v>
      </c>
      <c r="N76" s="3">
        <f>ROUND(5.376344086021505,2)</f>
        <v/>
      </c>
      <c r="O76" s="3">
        <f>ROUND(4.751273318775822,2)</f>
        <v/>
      </c>
      <c r="P76" s="3">
        <f>IF(M76&gt;0,ROUND(J76/M76,2),999)</f>
        <v/>
      </c>
      <c r="Q76" s="3">
        <f>ROUND(1.56,2)</f>
        <v/>
      </c>
      <c r="R76" s="2" t="inlineStr">
        <is>
          <t>Fatigue</t>
        </is>
      </c>
      <c r="S76" s="2" t="inlineStr">
        <is>
          <t>N</t>
        </is>
      </c>
      <c r="T76" s="2" t="inlineStr">
        <is>
          <t>Gift messaging increases AOV by 15% in Q4</t>
        </is>
      </c>
    </row>
    <row r="77">
      <c r="A77" s="4" t="inlineStr">
        <is>
          <t>CRE_076</t>
        </is>
      </c>
      <c r="B77" s="4" t="inlineStr">
        <is>
          <t>Creative_76</t>
        </is>
      </c>
      <c r="C77" s="4" t="inlineStr">
        <is>
          <t>Google Search</t>
        </is>
      </c>
      <c r="D77" s="4" t="inlineStr">
        <is>
          <t>Shopping</t>
        </is>
      </c>
      <c r="E77" s="4" t="inlineStr">
        <is>
          <t>Lifestyle</t>
        </is>
      </c>
      <c r="F77" s="4" t="n">
        <v>4</v>
      </c>
      <c r="G77" s="4" t="inlineStr">
        <is>
          <t>2024-12-10</t>
        </is>
      </c>
      <c r="H77" s="4" t="inlineStr">
        <is>
          <t>2024-12-26</t>
        </is>
      </c>
      <c r="I77" s="4" t="inlineStr">
        <is>
          <t>Health-Conscious Professional</t>
        </is>
      </c>
      <c r="J77" s="5">
        <f>1168.02</f>
        <v/>
      </c>
      <c r="K77" s="5" t="n">
        <v>19447</v>
      </c>
      <c r="L77" s="5">
        <f>ROUND(1.190352290583212,2)</f>
        <v/>
      </c>
      <c r="M77" s="5" t="n">
        <v>22</v>
      </c>
      <c r="N77" s="5">
        <f>ROUND(9.523809523809524,2)</f>
        <v/>
      </c>
      <c r="O77" s="5">
        <f>ROUND(5.437068702469933,2)</f>
        <v/>
      </c>
      <c r="P77" s="5">
        <f>IF(M77&gt;0,ROUND(J77/M77,2),999)</f>
        <v/>
      </c>
      <c r="Q77" s="5">
        <f>ROUND(1.54,2)</f>
        <v/>
      </c>
      <c r="R77" s="4" t="inlineStr">
        <is>
          <t>Winner-Kept</t>
        </is>
      </c>
      <c r="S77" s="4" t="inlineStr">
        <is>
          <t>N</t>
        </is>
      </c>
      <c r="T77" s="4" t="inlineStr">
        <is>
          <t>UGC content outperforms staged product photography by 18%</t>
        </is>
      </c>
    </row>
    <row r="78">
      <c r="A78" s="2" t="inlineStr">
        <is>
          <t>CRE_077</t>
        </is>
      </c>
      <c r="B78" s="2" t="inlineStr">
        <is>
          <t>Creative_77</t>
        </is>
      </c>
      <c r="C78" s="2" t="inlineStr">
        <is>
          <t>Google Search</t>
        </is>
      </c>
      <c r="D78" s="2" t="inlineStr">
        <is>
          <t>Image</t>
        </is>
      </c>
      <c r="E78" s="2" t="inlineStr">
        <is>
          <t>Product</t>
        </is>
      </c>
      <c r="F78" s="2" t="n">
        <v>4</v>
      </c>
      <c r="G78" s="2" t="inlineStr">
        <is>
          <t>2024-10-04</t>
        </is>
      </c>
      <c r="H78" s="2" t="inlineStr">
        <is>
          <t>2024-10-28</t>
        </is>
      </c>
      <c r="I78" s="2" t="inlineStr">
        <is>
          <t>Fitness Enthusiast</t>
        </is>
      </c>
      <c r="J78" s="3">
        <f>3606.74</f>
        <v/>
      </c>
      <c r="K78" s="3" t="n">
        <v>57381</v>
      </c>
      <c r="L78" s="3">
        <f>ROUND(0.6587046895141078,2)</f>
        <v/>
      </c>
      <c r="M78" s="3" t="n">
        <v>26</v>
      </c>
      <c r="N78" s="3">
        <f>ROUND(6.896551724137931,2)</f>
        <v/>
      </c>
      <c r="O78" s="3">
        <f>ROUND(2.326834095261434,2)</f>
        <v/>
      </c>
      <c r="P78" s="3">
        <f>IF(M78&gt;0,ROUND(J78/M78,2),999)</f>
        <v/>
      </c>
      <c r="Q78" s="3">
        <f>ROUND(1.66,2)</f>
        <v/>
      </c>
      <c r="R78" s="2" t="inlineStr">
        <is>
          <t>Lower CTR</t>
        </is>
      </c>
      <c r="S78" s="2" t="inlineStr">
        <is>
          <t>N</t>
        </is>
      </c>
      <c r="T78" s="2" t="inlineStr">
        <is>
          <t>Carousel ads reduce ad fatigue faster than single image</t>
        </is>
      </c>
    </row>
    <row r="79">
      <c r="A79" s="4" t="inlineStr">
        <is>
          <t>CRE_078</t>
        </is>
      </c>
      <c r="B79" s="4" t="inlineStr">
        <is>
          <t>Creative_78</t>
        </is>
      </c>
      <c r="C79" s="4" t="inlineStr">
        <is>
          <t>Meta</t>
        </is>
      </c>
      <c r="D79" s="4" t="inlineStr">
        <is>
          <t>Carousel</t>
        </is>
      </c>
      <c r="E79" s="4" t="inlineStr">
        <is>
          <t>Product</t>
        </is>
      </c>
      <c r="F79" s="4" t="n">
        <v>4</v>
      </c>
      <c r="G79" s="4" t="inlineStr">
        <is>
          <t>2024-11-11</t>
        </is>
      </c>
      <c r="H79" s="4" t="inlineStr">
        <is>
          <t>2024-11-28</t>
        </is>
      </c>
      <c r="I79" s="4" t="inlineStr">
        <is>
          <t>Health-Conscious Professional</t>
        </is>
      </c>
      <c r="J79" s="5">
        <f>1702.66</f>
        <v/>
      </c>
      <c r="K79" s="5" t="n">
        <v>33103</v>
      </c>
      <c r="L79" s="5">
        <f>ROUND(2.5676788672455286,2)</f>
        <v/>
      </c>
      <c r="M79" s="5" t="n">
        <v>61</v>
      </c>
      <c r="N79" s="5">
        <f>ROUND(7.1849234393404,2)</f>
        <v/>
      </c>
      <c r="O79" s="5">
        <f>ROUND(4.870078530426987,2)</f>
        <v/>
      </c>
      <c r="P79" s="5">
        <f>IF(M79&gt;0,ROUND(J79/M79,2),999)</f>
        <v/>
      </c>
      <c r="Q79" s="5">
        <f>ROUND(3.39,2)</f>
        <v/>
      </c>
      <c r="R79" s="4" t="inlineStr">
        <is>
          <t>Inventory Issue</t>
        </is>
      </c>
      <c r="S79" s="4" t="inlineStr">
        <is>
          <t>Y</t>
        </is>
      </c>
      <c r="T79" s="4" t="inlineStr">
        <is>
          <t>Morning timeslot (7-10 AM) drives highest conversion rate</t>
        </is>
      </c>
    </row>
    <row r="80">
      <c r="A80" s="2" t="inlineStr">
        <is>
          <t>CRE_079</t>
        </is>
      </c>
      <c r="B80" s="2" t="inlineStr">
        <is>
          <t>Creative_79</t>
        </is>
      </c>
      <c r="C80" s="2" t="inlineStr">
        <is>
          <t>TikTok</t>
        </is>
      </c>
      <c r="D80" s="2" t="inlineStr">
        <is>
          <t>Image</t>
        </is>
      </c>
      <c r="E80" s="2" t="inlineStr">
        <is>
          <t>Seasonal</t>
        </is>
      </c>
      <c r="F80" s="2" t="n">
        <v>4</v>
      </c>
      <c r="G80" s="2" t="inlineStr">
        <is>
          <t>2024-11-19</t>
        </is>
      </c>
      <c r="H80" s="2" t="inlineStr">
        <is>
          <t>2024-12-02</t>
        </is>
      </c>
      <c r="I80" s="2" t="inlineStr">
        <is>
          <t>Eco-Minded Family</t>
        </is>
      </c>
      <c r="J80" s="3">
        <f>2572.80</f>
        <v/>
      </c>
      <c r="K80" s="3" t="n">
        <v>36583</v>
      </c>
      <c r="L80" s="3">
        <f>ROUND(1.8479285514106412,2)</f>
        <v/>
      </c>
      <c r="M80" s="3" t="n">
        <v>80</v>
      </c>
      <c r="N80" s="3">
        <f>ROUND(11.834319526627219,2)</f>
        <v/>
      </c>
      <c r="O80" s="3">
        <f>ROUND(3.6754486049365247,2)</f>
        <v/>
      </c>
      <c r="P80" s="3">
        <f>IF(M80&gt;0,ROUND(J80/M80,2),999)</f>
        <v/>
      </c>
      <c r="Q80" s="3">
        <f>ROUND(1.85,2)</f>
        <v/>
      </c>
      <c r="R80" s="2" t="inlineStr">
        <is>
          <t>Lower CTR</t>
        </is>
      </c>
      <c r="S80" s="2" t="inlineStr">
        <is>
          <t>N</t>
        </is>
      </c>
      <c r="T80" s="2" t="inlineStr">
        <is>
          <t>UGC content outperforms staged product photography by 18%</t>
        </is>
      </c>
    </row>
    <row r="81">
      <c r="A81" s="4" t="inlineStr">
        <is>
          <t>CRE_080</t>
        </is>
      </c>
      <c r="B81" s="4" t="inlineStr">
        <is>
          <t>Creative_80</t>
        </is>
      </c>
      <c r="C81" s="4" t="inlineStr">
        <is>
          <t>YouTube</t>
        </is>
      </c>
      <c r="D81" s="4" t="inlineStr">
        <is>
          <t>Reel</t>
        </is>
      </c>
      <c r="E81" s="4" t="inlineStr">
        <is>
          <t>Seasonal</t>
        </is>
      </c>
      <c r="F81" s="4" t="n">
        <v>4</v>
      </c>
      <c r="G81" s="4" t="inlineStr">
        <is>
          <t>2024-11-11</t>
        </is>
      </c>
      <c r="H81" s="4" t="inlineStr">
        <is>
          <t>2024-11-24</t>
        </is>
      </c>
      <c r="I81" s="4" t="inlineStr">
        <is>
          <t>Eco-Minded Family</t>
        </is>
      </c>
      <c r="J81" s="5">
        <f>1064.39</f>
        <v/>
      </c>
      <c r="K81" s="5" t="n">
        <v>9423</v>
      </c>
      <c r="L81" s="5">
        <f>ROUND(3.4174317165223345,2)</f>
        <v/>
      </c>
      <c r="M81" s="5" t="n">
        <v>27</v>
      </c>
      <c r="N81" s="5">
        <f>ROUND(8.385093167701864,2)</f>
        <v/>
      </c>
      <c r="O81" s="5">
        <f>ROUND(5.1492864868538435,2)</f>
        <v/>
      </c>
      <c r="P81" s="5">
        <f>IF(M81&gt;0,ROUND(J81/M81,2),999)</f>
        <v/>
      </c>
      <c r="Q81" s="5">
        <f>ROUND(3.6,2)</f>
        <v/>
      </c>
      <c r="R81" s="4" t="inlineStr">
        <is>
          <t>Winner-Kept</t>
        </is>
      </c>
      <c r="S81" s="4" t="inlineStr">
        <is>
          <t>N</t>
        </is>
      </c>
      <c r="T81" s="4" t="inlineStr">
        <is>
          <t>Testimonial videos generate 5.1x ROAS</t>
        </is>
      </c>
    </row>
    <row r="82">
      <c r="A82" s="2" t="inlineStr">
        <is>
          <t>CRE_081</t>
        </is>
      </c>
      <c r="B82" s="2" t="inlineStr">
        <is>
          <t>Creative_81</t>
        </is>
      </c>
      <c r="C82" s="2" t="inlineStr">
        <is>
          <t>Google Search</t>
        </is>
      </c>
      <c r="D82" s="2" t="inlineStr">
        <is>
          <t>Reel</t>
        </is>
      </c>
      <c r="E82" s="2" t="inlineStr">
        <is>
          <t>Promotional</t>
        </is>
      </c>
      <c r="F82" s="2" t="n">
        <v>1</v>
      </c>
      <c r="G82" s="2" t="inlineStr">
        <is>
          <t>2024-03-01</t>
        </is>
      </c>
      <c r="H82" s="2" t="inlineStr">
        <is>
          <t>2024-04-27</t>
        </is>
      </c>
      <c r="I82" s="2" t="inlineStr">
        <is>
          <t>Eco-Minded Family</t>
        </is>
      </c>
      <c r="J82" s="3">
        <f>2090.48</f>
        <v/>
      </c>
      <c r="K82" s="3" t="n">
        <v>28757</v>
      </c>
      <c r="L82" s="3">
        <f>ROUND(0.7109332114193689,2)</f>
        <v/>
      </c>
      <c r="M82" s="3" t="n">
        <v>22</v>
      </c>
      <c r="N82" s="3">
        <f>ROUND(10.784313725490197,2)</f>
        <v/>
      </c>
      <c r="O82" s="3">
        <f>ROUND(4.312632757596585,2)</f>
        <v/>
      </c>
      <c r="P82" s="3">
        <f>IF(M82&gt;0,ROUND(J82/M82,2),999)</f>
        <v/>
      </c>
      <c r="Q82" s="3">
        <f>ROUND(3.68,2)</f>
        <v/>
      </c>
      <c r="R82" s="2" t="inlineStr">
        <is>
          <t>Lower CTR</t>
        </is>
      </c>
      <c r="S82" s="2" t="inlineStr">
        <is>
          <t>N</t>
        </is>
      </c>
      <c r="T82" s="2" t="inlineStr">
        <is>
          <t>Educational content (nutrition tips) builds longer-term retention</t>
        </is>
      </c>
    </row>
    <row r="83">
      <c r="A83" s="4" t="inlineStr">
        <is>
          <t>CRE_082</t>
        </is>
      </c>
      <c r="B83" s="4" t="inlineStr">
        <is>
          <t>Creative_82</t>
        </is>
      </c>
      <c r="C83" s="4" t="inlineStr">
        <is>
          <t>Google Shopping</t>
        </is>
      </c>
      <c r="D83" s="4" t="inlineStr">
        <is>
          <t>Reel</t>
        </is>
      </c>
      <c r="E83" s="4" t="inlineStr">
        <is>
          <t>Educational</t>
        </is>
      </c>
      <c r="F83" s="4" t="n">
        <v>1</v>
      </c>
      <c r="G83" s="4" t="inlineStr">
        <is>
          <t>2024-01-27</t>
        </is>
      </c>
      <c r="H83" s="4" t="inlineStr">
        <is>
          <t>2024-02-08</t>
        </is>
      </c>
      <c r="I83" s="4" t="inlineStr">
        <is>
          <t>Fitness Enthusiast</t>
        </is>
      </c>
      <c r="J83" s="5">
        <f>3627.14</f>
        <v/>
      </c>
      <c r="K83" s="5" t="n">
        <v>71909</v>
      </c>
      <c r="L83" s="5">
        <f>ROUND(1.7023751960155042,2)</f>
        <v/>
      </c>
      <c r="M83" s="5" t="n">
        <v>109</v>
      </c>
      <c r="N83" s="5">
        <f>ROUND(8.905228758169935,2)</f>
        <v/>
      </c>
      <c r="O83" s="5">
        <f>ROUND(5.191388874962188,2)</f>
        <v/>
      </c>
      <c r="P83" s="5">
        <f>IF(M83&gt;0,ROUND(J83/M83,2),999)</f>
        <v/>
      </c>
      <c r="Q83" s="5">
        <f>ROUND(2.65,2)</f>
        <v/>
      </c>
      <c r="R83" s="4" t="inlineStr">
        <is>
          <t>Inventory Issue</t>
        </is>
      </c>
      <c r="S83" s="4" t="inlineStr">
        <is>
          <t>N</t>
        </is>
      </c>
      <c r="T83" s="4" t="inlineStr">
        <is>
          <t>Family-focused messaging resonates with suburban audiences</t>
        </is>
      </c>
    </row>
    <row r="84">
      <c r="A84" s="2" t="inlineStr">
        <is>
          <t>CRE_083</t>
        </is>
      </c>
      <c r="B84" s="2" t="inlineStr">
        <is>
          <t>Creative_83</t>
        </is>
      </c>
      <c r="C84" s="2" t="inlineStr">
        <is>
          <t>Meta</t>
        </is>
      </c>
      <c r="D84" s="2" t="inlineStr">
        <is>
          <t>Shopping</t>
        </is>
      </c>
      <c r="E84" s="2" t="inlineStr">
        <is>
          <t>Educational</t>
        </is>
      </c>
      <c r="F84" s="2" t="n">
        <v>1</v>
      </c>
      <c r="G84" s="2" t="inlineStr">
        <is>
          <t>2024-01-16</t>
        </is>
      </c>
      <c r="H84" s="2" t="inlineStr">
        <is>
          <t>2024-02-02</t>
        </is>
      </c>
      <c r="I84" s="2" t="inlineStr">
        <is>
          <t>Lapsed Subscriber</t>
        </is>
      </c>
      <c r="J84" s="3">
        <f>4842.63</f>
        <v/>
      </c>
      <c r="K84" s="3" t="n">
        <v>62849</v>
      </c>
      <c r="L84" s="3">
        <f>ROUND(1.303069669838019,2)</f>
        <v/>
      </c>
      <c r="M84" s="3" t="n">
        <v>68</v>
      </c>
      <c r="N84" s="3">
        <f>ROUND(8.312958435207824,2)</f>
        <v/>
      </c>
      <c r="O84" s="3">
        <f>ROUND(3.196856646163977,2)</f>
        <v/>
      </c>
      <c r="P84" s="3">
        <f>IF(M84&gt;0,ROUND(J84/M84,2),999)</f>
        <v/>
      </c>
      <c r="Q84" s="3">
        <f>ROUND(2.11,2)</f>
        <v/>
      </c>
      <c r="R84" s="2" t="inlineStr">
        <is>
          <t>Fatigue</t>
        </is>
      </c>
      <c r="S84" s="2" t="inlineStr">
        <is>
          <t>N</t>
        </is>
      </c>
      <c r="T84" s="2" t="inlineStr">
        <is>
          <t>Diversity in creative assets critical after 2 weeks of exposure</t>
        </is>
      </c>
    </row>
    <row r="85">
      <c r="A85" s="4" t="inlineStr">
        <is>
          <t>CRE_084</t>
        </is>
      </c>
      <c r="B85" s="4" t="inlineStr">
        <is>
          <t>Creative_84</t>
        </is>
      </c>
      <c r="C85" s="4" t="inlineStr">
        <is>
          <t>TikTok</t>
        </is>
      </c>
      <c r="D85" s="4" t="inlineStr">
        <is>
          <t>Shopping</t>
        </is>
      </c>
      <c r="E85" s="4" t="inlineStr">
        <is>
          <t>Lifestyle</t>
        </is>
      </c>
      <c r="F85" s="4" t="n">
        <v>1</v>
      </c>
      <c r="G85" s="4" t="inlineStr">
        <is>
          <t>2024-02-05</t>
        </is>
      </c>
      <c r="H85" s="4" t="inlineStr">
        <is>
          <t>2024-03-12</t>
        </is>
      </c>
      <c r="I85" s="4" t="inlineStr">
        <is>
          <t>Health-Conscious Professional</t>
        </is>
      </c>
      <c r="J85" s="5">
        <f>2776.52</f>
        <v/>
      </c>
      <c r="K85" s="5" t="n">
        <v>39292</v>
      </c>
      <c r="L85" s="5">
        <f>ROUND(2.0136362077520347,2)</f>
        <v/>
      </c>
      <c r="M85" s="5" t="n">
        <v>45</v>
      </c>
      <c r="N85" s="5">
        <f>ROUND(5.689001264222504,2)</f>
        <v/>
      </c>
      <c r="O85" s="5">
        <f>ROUND(3.647384682888342,2)</f>
        <v/>
      </c>
      <c r="P85" s="5">
        <f>IF(M85&gt;0,ROUND(J85/M85,2),999)</f>
        <v/>
      </c>
      <c r="Q85" s="5">
        <f>ROUND(2.98,2)</f>
        <v/>
      </c>
      <c r="R85" s="4" t="inlineStr">
        <is>
          <t>Winner-Kept</t>
        </is>
      </c>
      <c r="S85" s="4" t="inlineStr">
        <is>
          <t>N</t>
        </is>
      </c>
      <c r="T85" s="4" t="inlineStr">
        <is>
          <t>Seasonal box creative timed to holidays drives pre-orders</t>
        </is>
      </c>
    </row>
    <row r="86">
      <c r="A86" s="2" t="inlineStr">
        <is>
          <t>CRE_085</t>
        </is>
      </c>
      <c r="B86" s="2" t="inlineStr">
        <is>
          <t>Creative_85</t>
        </is>
      </c>
      <c r="C86" s="2" t="inlineStr">
        <is>
          <t>Meta</t>
        </is>
      </c>
      <c r="D86" s="2" t="inlineStr">
        <is>
          <t>Reel</t>
        </is>
      </c>
      <c r="E86" s="2" t="inlineStr">
        <is>
          <t>Lifestyle</t>
        </is>
      </c>
      <c r="F86" s="2" t="n">
        <v>1</v>
      </c>
      <c r="G86" s="2" t="inlineStr">
        <is>
          <t>2024-02-17</t>
        </is>
      </c>
      <c r="H86" s="2" t="inlineStr">
        <is>
          <t>2024-03-22</t>
        </is>
      </c>
      <c r="I86" s="2" t="inlineStr">
        <is>
          <t>Eco-Minded Family</t>
        </is>
      </c>
      <c r="J86" s="3">
        <f>1770.90</f>
        <v/>
      </c>
      <c r="K86" s="3" t="n">
        <v>23327</v>
      </c>
      <c r="L86" s="3">
        <f>ROUND(4.2813486957845095,2)</f>
        <v/>
      </c>
      <c r="M86" s="3" t="n">
        <v>48</v>
      </c>
      <c r="N86" s="3">
        <f>ROUND(4.809619238476954,2)</f>
        <v/>
      </c>
      <c r="O86" s="3">
        <f>ROUND(4.86055759308726,2)</f>
        <v/>
      </c>
      <c r="P86" s="3">
        <f>IF(M86&gt;0,ROUND(J86/M86,2),999)</f>
        <v/>
      </c>
      <c r="Q86" s="3">
        <f>ROUND(1.35,2)</f>
        <v/>
      </c>
      <c r="R86" s="2" t="inlineStr">
        <is>
          <t>Fatigue</t>
        </is>
      </c>
      <c r="S86" s="2" t="inlineStr">
        <is>
          <t>N</t>
        </is>
      </c>
      <c r="T86" s="2" t="inlineStr">
        <is>
          <t>Testimonial videos generate 5.1x ROAS</t>
        </is>
      </c>
    </row>
    <row r="87">
      <c r="A87" s="4" t="inlineStr">
        <is>
          <t>CRE_086</t>
        </is>
      </c>
      <c r="B87" s="4" t="inlineStr">
        <is>
          <t>Creative_86</t>
        </is>
      </c>
      <c r="C87" s="4" t="inlineStr">
        <is>
          <t>Meta</t>
        </is>
      </c>
      <c r="D87" s="4" t="inlineStr">
        <is>
          <t>Story</t>
        </is>
      </c>
      <c r="E87" s="4" t="inlineStr">
        <is>
          <t>Educational</t>
        </is>
      </c>
      <c r="F87" s="4" t="n">
        <v>2</v>
      </c>
      <c r="G87" s="4" t="inlineStr">
        <is>
          <t>2024-04-06</t>
        </is>
      </c>
      <c r="H87" s="4" t="inlineStr">
        <is>
          <t>2024-04-26</t>
        </is>
      </c>
      <c r="I87" s="4" t="inlineStr">
        <is>
          <t>Eco-Minded Family</t>
        </is>
      </c>
      <c r="J87" s="5">
        <f>2282.32</f>
        <v/>
      </c>
      <c r="K87" s="5" t="n">
        <v>44636</v>
      </c>
      <c r="L87" s="5">
        <f>ROUND(1.9965056291215215,2)</f>
        <v/>
      </c>
      <c r="M87" s="5" t="n">
        <v>90</v>
      </c>
      <c r="N87" s="5">
        <f>ROUND(10.1010101010101,2)</f>
        <v/>
      </c>
      <c r="O87" s="5">
        <f>ROUND(3.174232987335335,2)</f>
        <v/>
      </c>
      <c r="P87" s="5">
        <f>IF(M87&gt;0,ROUND(J87/M87,2),999)</f>
        <v/>
      </c>
      <c r="Q87" s="5">
        <f>ROUND(2.17,2)</f>
        <v/>
      </c>
      <c r="R87" s="4" t="inlineStr">
        <is>
          <t>Budget</t>
        </is>
      </c>
      <c r="S87" s="4" t="inlineStr">
        <is>
          <t>N</t>
        </is>
      </c>
      <c r="T87" s="4" t="inlineStr">
        <is>
          <t>Gift messaging increases AOV by 15% in Q4</t>
        </is>
      </c>
    </row>
    <row r="88">
      <c r="A88" s="2" t="inlineStr">
        <is>
          <t>CRE_087</t>
        </is>
      </c>
      <c r="B88" s="2" t="inlineStr">
        <is>
          <t>Creative_87</t>
        </is>
      </c>
      <c r="C88" s="2" t="inlineStr">
        <is>
          <t>YouTube</t>
        </is>
      </c>
      <c r="D88" s="2" t="inlineStr">
        <is>
          <t>Reel</t>
        </is>
      </c>
      <c r="E88" s="2" t="inlineStr">
        <is>
          <t>Lifestyle</t>
        </is>
      </c>
      <c r="F88" s="2" t="n">
        <v>2</v>
      </c>
      <c r="G88" s="2" t="inlineStr">
        <is>
          <t>2024-04-05</t>
        </is>
      </c>
      <c r="H88" s="2" t="inlineStr">
        <is>
          <t>2024-04-19</t>
        </is>
      </c>
      <c r="I88" s="2" t="inlineStr">
        <is>
          <t>Lapsed Subscriber</t>
        </is>
      </c>
      <c r="J88" s="3">
        <f>2770.67</f>
        <v/>
      </c>
      <c r="K88" s="3" t="n">
        <v>38059</v>
      </c>
      <c r="L88" s="3">
        <f>ROUND(2.3885563137469146,2)</f>
        <v/>
      </c>
      <c r="M88" s="3" t="n">
        <v>108</v>
      </c>
      <c r="N88" s="3">
        <f>ROUND(11.881188118811881,2)</f>
        <v/>
      </c>
      <c r="O88" s="3">
        <f>ROUND(2.481721682339472,2)</f>
        <v/>
      </c>
      <c r="P88" s="3">
        <f>IF(M88&gt;0,ROUND(J88/M88,2),999)</f>
        <v/>
      </c>
      <c r="Q88" s="3">
        <f>ROUND(1.93,2)</f>
        <v/>
      </c>
      <c r="R88" s="2" t="inlineStr">
        <is>
          <t>Lower CTR</t>
        </is>
      </c>
      <c r="S88" s="2" t="inlineStr">
        <is>
          <t>N</t>
        </is>
      </c>
      <c r="T88" s="2" t="inlineStr">
        <is>
          <t>Seasonal messaging (Spring/Eco) achieved 4.9x ROAS</t>
        </is>
      </c>
    </row>
    <row r="89">
      <c r="A89" s="4" t="inlineStr">
        <is>
          <t>CRE_088</t>
        </is>
      </c>
      <c r="B89" s="4" t="inlineStr">
        <is>
          <t>Creative_88</t>
        </is>
      </c>
      <c r="C89" s="4" t="inlineStr">
        <is>
          <t>Google Search</t>
        </is>
      </c>
      <c r="D89" s="4" t="inlineStr">
        <is>
          <t>Shopping</t>
        </is>
      </c>
      <c r="E89" s="4" t="inlineStr">
        <is>
          <t>Promotional</t>
        </is>
      </c>
      <c r="F89" s="4" t="n">
        <v>2</v>
      </c>
      <c r="G89" s="4" t="inlineStr">
        <is>
          <t>2024-04-06</t>
        </is>
      </c>
      <c r="H89" s="4" t="inlineStr">
        <is>
          <t>2024-05-28</t>
        </is>
      </c>
      <c r="I89" s="4" t="inlineStr">
        <is>
          <t>Health-Conscious Professional</t>
        </is>
      </c>
      <c r="J89" s="5">
        <f>1092.63</f>
        <v/>
      </c>
      <c r="K89" s="5" t="n">
        <v>9656</v>
      </c>
      <c r="L89" s="5">
        <f>ROUND(4.326957507896632,2)</f>
        <v/>
      </c>
      <c r="M89" s="5" t="n">
        <v>42</v>
      </c>
      <c r="N89" s="5">
        <f>ROUND(10.071942446043165,2)</f>
        <v/>
      </c>
      <c r="O89" s="5">
        <f>ROUND(4.4283494248990705,2)</f>
        <v/>
      </c>
      <c r="P89" s="5">
        <f>IF(M89&gt;0,ROUND(J89/M89,2),999)</f>
        <v/>
      </c>
      <c r="Q89" s="5">
        <f>ROUND(3.02,2)</f>
        <v/>
      </c>
      <c r="R89" s="4" t="inlineStr">
        <is>
          <t>CAC Increase</t>
        </is>
      </c>
      <c r="S89" s="4" t="inlineStr">
        <is>
          <t>Y</t>
        </is>
      </c>
      <c r="T89" s="4" t="inlineStr">
        <is>
          <t>Testimonial videos generate 5.1x ROAS</t>
        </is>
      </c>
    </row>
    <row r="90">
      <c r="A90" s="2" t="inlineStr">
        <is>
          <t>CRE_089</t>
        </is>
      </c>
      <c r="B90" s="2" t="inlineStr">
        <is>
          <t>Creative_89</t>
        </is>
      </c>
      <c r="C90" s="2" t="inlineStr">
        <is>
          <t>Google Shopping</t>
        </is>
      </c>
      <c r="D90" s="2" t="inlineStr">
        <is>
          <t>Carousel</t>
        </is>
      </c>
      <c r="E90" s="2" t="inlineStr">
        <is>
          <t>Promotional</t>
        </is>
      </c>
      <c r="F90" s="2" t="n">
        <v>2</v>
      </c>
      <c r="G90" s="2" t="inlineStr">
        <is>
          <t>2024-05-20</t>
        </is>
      </c>
      <c r="H90" s="2" t="inlineStr">
        <is>
          <t>2024-06-26</t>
        </is>
      </c>
      <c r="I90" s="2" t="inlineStr">
        <is>
          <t>Gift Purchaser</t>
        </is>
      </c>
      <c r="J90" s="3">
        <f>3594.89</f>
        <v/>
      </c>
      <c r="K90" s="3" t="n">
        <v>47966</v>
      </c>
      <c r="L90" s="3">
        <f>ROUND(0.9812496916152513,2)</f>
        <v/>
      </c>
      <c r="M90" s="3" t="n">
        <v>35</v>
      </c>
      <c r="N90" s="3">
        <f>ROUND(7.446808510638298,2)</f>
        <v/>
      </c>
      <c r="O90" s="3">
        <f>ROUND(5.01115058645134,2)</f>
        <v/>
      </c>
      <c r="P90" s="3">
        <f>IF(M90&gt;0,ROUND(J90/M90,2),999)</f>
        <v/>
      </c>
      <c r="Q90" s="3">
        <f>ROUND(3.49,2)</f>
        <v/>
      </c>
      <c r="R90" s="2" t="inlineStr">
        <is>
          <t>Seasonal</t>
        </is>
      </c>
      <c r="S90" s="2" t="inlineStr">
        <is>
          <t>N</t>
        </is>
      </c>
      <c r="T90" s="2" t="inlineStr">
        <is>
          <t>Price-focused messaging performs worse with affluent segments</t>
        </is>
      </c>
    </row>
    <row r="91">
      <c r="A91" s="4" t="inlineStr">
        <is>
          <t>CRE_090</t>
        </is>
      </c>
      <c r="B91" s="4" t="inlineStr">
        <is>
          <t>Creative_90</t>
        </is>
      </c>
      <c r="C91" s="4" t="inlineStr">
        <is>
          <t>Meta</t>
        </is>
      </c>
      <c r="D91" s="4" t="inlineStr">
        <is>
          <t>Shopping</t>
        </is>
      </c>
      <c r="E91" s="4" t="inlineStr">
        <is>
          <t>Promotional</t>
        </is>
      </c>
      <c r="F91" s="4" t="n">
        <v>2</v>
      </c>
      <c r="G91" s="4" t="inlineStr">
        <is>
          <t>2024-05-05</t>
        </is>
      </c>
      <c r="H91" s="4" t="inlineStr">
        <is>
          <t>2024-06-16</t>
        </is>
      </c>
      <c r="I91" s="4" t="inlineStr">
        <is>
          <t>Gift Purchaser</t>
        </is>
      </c>
      <c r="J91" s="5">
        <f>4092.96</f>
        <v/>
      </c>
      <c r="K91" s="5" t="n">
        <v>33212</v>
      </c>
      <c r="L91" s="5">
        <f>ROUND(2.108046280384112,2)</f>
        <v/>
      </c>
      <c r="M91" s="5" t="n">
        <v>49</v>
      </c>
      <c r="N91" s="5">
        <f>ROUND(7.000000000000001,2)</f>
        <v/>
      </c>
      <c r="O91" s="5">
        <f>ROUND(3.8840850252130936,2)</f>
        <v/>
      </c>
      <c r="P91" s="5">
        <f>IF(M91&gt;0,ROUND(J91/M91,2),999)</f>
        <v/>
      </c>
      <c r="Q91" s="5">
        <f>ROUND(2.54,2)</f>
        <v/>
      </c>
      <c r="R91" s="4" t="inlineStr">
        <is>
          <t>Seasonal</t>
        </is>
      </c>
      <c r="S91" s="4" t="inlineStr">
        <is>
          <t>N</t>
        </is>
      </c>
      <c r="T91" s="4" t="inlineStr">
        <is>
          <t>Seasonal messaging (Spring/Eco) achieved 4.9x ROAS</t>
        </is>
      </c>
    </row>
    <row r="92">
      <c r="A92" s="2" t="inlineStr">
        <is>
          <t>CRE_091</t>
        </is>
      </c>
      <c r="B92" s="2" t="inlineStr">
        <is>
          <t>Creative_91</t>
        </is>
      </c>
      <c r="C92" s="2" t="inlineStr">
        <is>
          <t>YouTube</t>
        </is>
      </c>
      <c r="D92" s="2" t="inlineStr">
        <is>
          <t>Video</t>
        </is>
      </c>
      <c r="E92" s="2" t="inlineStr">
        <is>
          <t>Product</t>
        </is>
      </c>
      <c r="F92" s="2" t="n">
        <v>3</v>
      </c>
      <c r="G92" s="2" t="inlineStr">
        <is>
          <t>2024-08-11</t>
        </is>
      </c>
      <c r="H92" s="2" t="inlineStr">
        <is>
          <t>2024-08-11</t>
        </is>
      </c>
      <c r="I92" s="2" t="inlineStr">
        <is>
          <t>Lapsed Subscriber</t>
        </is>
      </c>
      <c r="J92" s="3">
        <f>4873.95</f>
        <v/>
      </c>
      <c r="K92" s="3" t="n">
        <v>44130</v>
      </c>
      <c r="L92" s="3">
        <f>ROUND(2.858688451968873,2)</f>
        <v/>
      </c>
      <c r="M92" s="3" t="n">
        <v>139</v>
      </c>
      <c r="N92" s="3">
        <f>ROUND(11.022997620935765,2)</f>
        <v/>
      </c>
      <c r="O92" s="3">
        <f>ROUND(2.684395512358939,2)</f>
        <v/>
      </c>
      <c r="P92" s="3">
        <f>IF(M92&gt;0,ROUND(J92/M92,2),999)</f>
        <v/>
      </c>
      <c r="Q92" s="3">
        <f>ROUND(3.67,2)</f>
        <v/>
      </c>
      <c r="R92" s="2" t="inlineStr">
        <is>
          <t>Winner-Kept</t>
        </is>
      </c>
      <c r="S92" s="2" t="inlineStr">
        <is>
          <t>N</t>
        </is>
      </c>
      <c r="T92" s="2" t="inlineStr">
        <is>
          <t>Testimonial videos generate 5.1x ROAS</t>
        </is>
      </c>
    </row>
    <row r="93">
      <c r="A93" s="4" t="inlineStr">
        <is>
          <t>CRE_092</t>
        </is>
      </c>
      <c r="B93" s="4" t="inlineStr">
        <is>
          <t>Creative_92</t>
        </is>
      </c>
      <c r="C93" s="4" t="inlineStr">
        <is>
          <t>Google Shopping</t>
        </is>
      </c>
      <c r="D93" s="4" t="inlineStr">
        <is>
          <t>Reel</t>
        </is>
      </c>
      <c r="E93" s="4" t="inlineStr">
        <is>
          <t>Product</t>
        </is>
      </c>
      <c r="F93" s="4" t="n">
        <v>3</v>
      </c>
      <c r="G93" s="4" t="inlineStr">
        <is>
          <t>2024-07-10</t>
        </is>
      </c>
      <c r="H93" s="4" t="inlineStr">
        <is>
          <t>2024-08-12</t>
        </is>
      </c>
      <c r="I93" s="4" t="inlineStr">
        <is>
          <t>Eco-Minded Family</t>
        </is>
      </c>
      <c r="J93" s="5">
        <f>687.18</f>
        <v/>
      </c>
      <c r="K93" s="5" t="n">
        <v>5598</v>
      </c>
      <c r="L93" s="5">
        <f>ROUND(3.199396087301366,2)</f>
        <v/>
      </c>
      <c r="M93" s="5" t="n">
        <v>17</v>
      </c>
      <c r="N93" s="5">
        <f>ROUND(9.497206703910614,2)</f>
        <v/>
      </c>
      <c r="O93" s="5">
        <f>ROUND(4.233037659437935,2)</f>
        <v/>
      </c>
      <c r="P93" s="5">
        <f>IF(M93&gt;0,ROUND(J93/M93,2),999)</f>
        <v/>
      </c>
      <c r="Q93" s="5">
        <f>ROUND(2.79,2)</f>
        <v/>
      </c>
      <c r="R93" s="4" t="inlineStr">
        <is>
          <t>Test-Complete</t>
        </is>
      </c>
      <c r="S93" s="4" t="inlineStr">
        <is>
          <t>N</t>
        </is>
      </c>
      <c r="T93" s="4" t="inlineStr">
        <is>
          <t>Video format shows 2.3x higher CVR than static images</t>
        </is>
      </c>
    </row>
    <row r="94">
      <c r="A94" s="2" t="inlineStr">
        <is>
          <t>CRE_093</t>
        </is>
      </c>
      <c r="B94" s="2" t="inlineStr">
        <is>
          <t>Creative_93</t>
        </is>
      </c>
      <c r="C94" s="2" t="inlineStr">
        <is>
          <t>Google Shopping</t>
        </is>
      </c>
      <c r="D94" s="2" t="inlineStr">
        <is>
          <t>Story</t>
        </is>
      </c>
      <c r="E94" s="2" t="inlineStr">
        <is>
          <t>Product</t>
        </is>
      </c>
      <c r="F94" s="2" t="n">
        <v>3</v>
      </c>
      <c r="G94" s="2" t="inlineStr">
        <is>
          <t>2024-07-18</t>
        </is>
      </c>
      <c r="H94" s="2" t="inlineStr">
        <is>
          <t>2024-07-06</t>
        </is>
      </c>
      <c r="I94" s="2" t="inlineStr">
        <is>
          <t>Fitness Enthusiast</t>
        </is>
      </c>
      <c r="J94" s="3">
        <f>646.38</f>
        <v/>
      </c>
      <c r="K94" s="3" t="n">
        <v>6099</v>
      </c>
      <c r="L94" s="3">
        <f>ROUND(3.2127042239130987,2)</f>
        <v/>
      </c>
      <c r="M94" s="3" t="n">
        <v>8</v>
      </c>
      <c r="N94" s="3">
        <f>ROUND(4.102564102564102,2)</f>
        <v/>
      </c>
      <c r="O94" s="3">
        <f>ROUND(4.50006906113715,2)</f>
        <v/>
      </c>
      <c r="P94" s="3">
        <f>IF(M94&gt;0,ROUND(J94/M94,2),999)</f>
        <v/>
      </c>
      <c r="Q94" s="3">
        <f>ROUND(3.11,2)</f>
        <v/>
      </c>
      <c r="R94" s="2" t="inlineStr">
        <is>
          <t>Budget</t>
        </is>
      </c>
      <c r="S94" s="2" t="inlineStr">
        <is>
          <t>N</t>
        </is>
      </c>
      <c r="T94" s="2" t="inlineStr">
        <is>
          <t>Video format shows 2.3x higher CVR than static images</t>
        </is>
      </c>
    </row>
    <row r="95">
      <c r="A95" s="4" t="inlineStr">
        <is>
          <t>CRE_094</t>
        </is>
      </c>
      <c r="B95" s="4" t="inlineStr">
        <is>
          <t>Creative_94</t>
        </is>
      </c>
      <c r="C95" s="4" t="inlineStr">
        <is>
          <t>Google Shopping</t>
        </is>
      </c>
      <c r="D95" s="4" t="inlineStr">
        <is>
          <t>Carousel</t>
        </is>
      </c>
      <c r="E95" s="4" t="inlineStr">
        <is>
          <t>UGC</t>
        </is>
      </c>
      <c r="F95" s="4" t="n">
        <v>3</v>
      </c>
      <c r="G95" s="4" t="inlineStr">
        <is>
          <t>2024-08-20</t>
        </is>
      </c>
      <c r="H95" s="4" t="inlineStr">
        <is>
          <t>2024-08-20</t>
        </is>
      </c>
      <c r="I95" s="4" t="inlineStr">
        <is>
          <t>Lapsed Subscriber</t>
        </is>
      </c>
      <c r="J95" s="5">
        <f>2367.84</f>
        <v/>
      </c>
      <c r="K95" s="5" t="n">
        <v>33303</v>
      </c>
      <c r="L95" s="5">
        <f>ROUND(3.6356561053815053,2)</f>
        <v/>
      </c>
      <c r="M95" s="5" t="n">
        <v>108</v>
      </c>
      <c r="N95" s="5">
        <f>ROUND(8.925619834710744,2)</f>
        <v/>
      </c>
      <c r="O95" s="5">
        <f>ROUND(3.8353160835931552,2)</f>
        <v/>
      </c>
      <c r="P95" s="5">
        <f>IF(M95&gt;0,ROUND(J95/M95,2),999)</f>
        <v/>
      </c>
      <c r="Q95" s="5">
        <f>ROUND(3.7,2)</f>
        <v/>
      </c>
      <c r="R95" s="4" t="inlineStr">
        <is>
          <t>Lower CTR</t>
        </is>
      </c>
      <c r="S95" s="4" t="inlineStr">
        <is>
          <t>Y</t>
        </is>
      </c>
      <c r="T95" s="4" t="inlineStr">
        <is>
          <t>Seasonal box creative timed to holidays drives pre-orders</t>
        </is>
      </c>
    </row>
    <row r="96">
      <c r="A96" s="2" t="inlineStr">
        <is>
          <t>CRE_095</t>
        </is>
      </c>
      <c r="B96" s="2" t="inlineStr">
        <is>
          <t>Creative_95</t>
        </is>
      </c>
      <c r="C96" s="2" t="inlineStr">
        <is>
          <t>YouTube</t>
        </is>
      </c>
      <c r="D96" s="2" t="inlineStr">
        <is>
          <t>Carousel</t>
        </is>
      </c>
      <c r="E96" s="2" t="inlineStr">
        <is>
          <t>Product</t>
        </is>
      </c>
      <c r="F96" s="2" t="n">
        <v>3</v>
      </c>
      <c r="G96" s="2" t="inlineStr">
        <is>
          <t>2024-09-12</t>
        </is>
      </c>
      <c r="H96" s="2" t="inlineStr">
        <is>
          <t>2024-09-21</t>
        </is>
      </c>
      <c r="I96" s="2" t="inlineStr">
        <is>
          <t>Gift Purchaser</t>
        </is>
      </c>
      <c r="J96" s="3">
        <f>4203.39</f>
        <v/>
      </c>
      <c r="K96" s="3" t="n">
        <v>52642</v>
      </c>
      <c r="L96" s="3">
        <f>ROUND(3.388604116524696,2)</f>
        <v/>
      </c>
      <c r="M96" s="3" t="n">
        <v>119</v>
      </c>
      <c r="N96" s="3">
        <f>ROUND(6.674144699943915,2)</f>
        <v/>
      </c>
      <c r="O96" s="3">
        <f>ROUND(2.0605003756452804,2)</f>
        <v/>
      </c>
      <c r="P96" s="3">
        <f>IF(M96&gt;0,ROUND(J96/M96,2),999)</f>
        <v/>
      </c>
      <c r="Q96" s="3">
        <f>ROUND(2.42,2)</f>
        <v/>
      </c>
      <c r="R96" s="2" t="inlineStr">
        <is>
          <t>Seasonal</t>
        </is>
      </c>
      <c r="S96" s="2" t="inlineStr">
        <is>
          <t>N</t>
        </is>
      </c>
      <c r="T96" s="2" t="inlineStr">
        <is>
          <t>Carousel ads reduce ad fatigue faster than single image</t>
        </is>
      </c>
    </row>
    <row r="97">
      <c r="A97" s="4" t="inlineStr">
        <is>
          <t>CRE_096</t>
        </is>
      </c>
      <c r="B97" s="4" t="inlineStr">
        <is>
          <t>Creative_96</t>
        </is>
      </c>
      <c r="C97" s="4" t="inlineStr">
        <is>
          <t>TikTok</t>
        </is>
      </c>
      <c r="D97" s="4" t="inlineStr">
        <is>
          <t>Image</t>
        </is>
      </c>
      <c r="E97" s="4" t="inlineStr">
        <is>
          <t>Product</t>
        </is>
      </c>
      <c r="F97" s="4" t="n">
        <v>4</v>
      </c>
      <c r="G97" s="4" t="inlineStr">
        <is>
          <t>2024-11-07</t>
        </is>
      </c>
      <c r="H97" s="4" t="inlineStr">
        <is>
          <t>2024-12-26</t>
        </is>
      </c>
      <c r="I97" s="4" t="inlineStr">
        <is>
          <t>Lapsed Subscriber</t>
        </is>
      </c>
      <c r="J97" s="5">
        <f>2792.35</f>
        <v/>
      </c>
      <c r="K97" s="5" t="n">
        <v>23271</v>
      </c>
      <c r="L97" s="5">
        <f>ROUND(2.292260738798011,2)</f>
        <v/>
      </c>
      <c r="M97" s="5" t="n">
        <v>62</v>
      </c>
      <c r="N97" s="5">
        <f>ROUND(11.632270168855536,2)</f>
        <v/>
      </c>
      <c r="O97" s="5">
        <f>ROUND(2.320244904236077,2)</f>
        <v/>
      </c>
      <c r="P97" s="5">
        <f>IF(M97&gt;0,ROUND(J97/M97,2),999)</f>
        <v/>
      </c>
      <c r="Q97" s="5">
        <f>ROUND(2.04,2)</f>
        <v/>
      </c>
      <c r="R97" s="4" t="inlineStr">
        <is>
          <t>Seasonal</t>
        </is>
      </c>
      <c r="S97" s="4" t="inlineStr">
        <is>
          <t>N</t>
        </is>
      </c>
      <c r="T97" s="4" t="inlineStr">
        <is>
          <t>Lifestyle imagery (cooking) outperforms product shots</t>
        </is>
      </c>
    </row>
    <row r="98">
      <c r="A98" s="2" t="inlineStr">
        <is>
          <t>CRE_097</t>
        </is>
      </c>
      <c r="B98" s="2" t="inlineStr">
        <is>
          <t>Creative_97</t>
        </is>
      </c>
      <c r="C98" s="2" t="inlineStr">
        <is>
          <t>YouTube</t>
        </is>
      </c>
      <c r="D98" s="2" t="inlineStr">
        <is>
          <t>Shopping</t>
        </is>
      </c>
      <c r="E98" s="2" t="inlineStr">
        <is>
          <t>UGC</t>
        </is>
      </c>
      <c r="F98" s="2" t="n">
        <v>4</v>
      </c>
      <c r="G98" s="2" t="inlineStr">
        <is>
          <t>2024-10-14</t>
        </is>
      </c>
      <c r="H98" s="2" t="inlineStr">
        <is>
          <t>2024-10-09</t>
        </is>
      </c>
      <c r="I98" s="2" t="inlineStr">
        <is>
          <t>Eco-Minded Family</t>
        </is>
      </c>
      <c r="J98" s="3">
        <f>4126.95</f>
        <v/>
      </c>
      <c r="K98" s="3" t="n">
        <v>52040</v>
      </c>
      <c r="L98" s="3">
        <f>ROUND(2.364975816419649,2)</f>
        <v/>
      </c>
      <c r="M98" s="3" t="n">
        <v>111</v>
      </c>
      <c r="N98" s="3">
        <f>ROUND(9.024390243902438,2)</f>
        <v/>
      </c>
      <c r="O98" s="3">
        <f>ROUND(5.1316855568093835,2)</f>
        <v/>
      </c>
      <c r="P98" s="3">
        <f>IF(M98&gt;0,ROUND(J98/M98,2),999)</f>
        <v/>
      </c>
      <c r="Q98" s="3">
        <f>ROUND(3.78,2)</f>
        <v/>
      </c>
      <c r="R98" s="2" t="inlineStr">
        <is>
          <t>Budget</t>
        </is>
      </c>
      <c r="S98" s="2" t="inlineStr">
        <is>
          <t>N</t>
        </is>
      </c>
      <c r="T98" s="2" t="inlineStr">
        <is>
          <t>Video format shows 2.3x higher CVR than static images</t>
        </is>
      </c>
    </row>
    <row r="99">
      <c r="A99" s="4" t="inlineStr">
        <is>
          <t>CRE_098</t>
        </is>
      </c>
      <c r="B99" s="4" t="inlineStr">
        <is>
          <t>Creative_98</t>
        </is>
      </c>
      <c r="C99" s="4" t="inlineStr">
        <is>
          <t>YouTube</t>
        </is>
      </c>
      <c r="D99" s="4" t="inlineStr">
        <is>
          <t>Story</t>
        </is>
      </c>
      <c r="E99" s="4" t="inlineStr">
        <is>
          <t>Lifestyle</t>
        </is>
      </c>
      <c r="F99" s="4" t="n">
        <v>4</v>
      </c>
      <c r="G99" s="4" t="inlineStr">
        <is>
          <t>2024-11-05</t>
        </is>
      </c>
      <c r="H99" s="4" t="inlineStr">
        <is>
          <t>2024-11-02</t>
        </is>
      </c>
      <c r="I99" s="4" t="inlineStr">
        <is>
          <t>Lapsed Subscriber</t>
        </is>
      </c>
      <c r="J99" s="5">
        <f>1301.06</f>
        <v/>
      </c>
      <c r="K99" s="5" t="n">
        <v>19425</v>
      </c>
      <c r="L99" s="5">
        <f>ROUND(3.569069063212516,2)</f>
        <v/>
      </c>
      <c r="M99" s="5" t="n">
        <v>62</v>
      </c>
      <c r="N99" s="5">
        <f>ROUND(8.946608946608947,2)</f>
        <v/>
      </c>
      <c r="O99" s="5">
        <f>ROUND(2.695139242809163,2)</f>
        <v/>
      </c>
      <c r="P99" s="5">
        <f>IF(M99&gt;0,ROUND(J99/M99,2),999)</f>
        <v/>
      </c>
      <c r="Q99" s="5">
        <f>ROUND(2.01,2)</f>
        <v/>
      </c>
      <c r="R99" s="4" t="inlineStr">
        <is>
          <t>Test-Complete</t>
        </is>
      </c>
      <c r="S99" s="4" t="inlineStr">
        <is>
          <t>N</t>
        </is>
      </c>
      <c r="T99" s="4" t="inlineStr">
        <is>
          <t>Carousel ads reduce ad fatigue faster than single image</t>
        </is>
      </c>
    </row>
    <row r="100">
      <c r="A100" s="2" t="inlineStr">
        <is>
          <t>CRE_099</t>
        </is>
      </c>
      <c r="B100" s="2" t="inlineStr">
        <is>
          <t>Creative_99</t>
        </is>
      </c>
      <c r="C100" s="2" t="inlineStr">
        <is>
          <t>TikTok</t>
        </is>
      </c>
      <c r="D100" s="2" t="inlineStr">
        <is>
          <t>Image</t>
        </is>
      </c>
      <c r="E100" s="2" t="inlineStr">
        <is>
          <t>UGC</t>
        </is>
      </c>
      <c r="F100" s="2" t="n">
        <v>4</v>
      </c>
      <c r="G100" s="2" t="inlineStr">
        <is>
          <t>2024-11-27</t>
        </is>
      </c>
      <c r="H100" s="2" t="inlineStr">
        <is>
          <t>2024-11-15</t>
        </is>
      </c>
      <c r="I100" s="2" t="inlineStr">
        <is>
          <t>Fitness Enthusiast</t>
        </is>
      </c>
      <c r="J100" s="3">
        <f>4019.40</f>
        <v/>
      </c>
      <c r="K100" s="3" t="n">
        <v>49101</v>
      </c>
      <c r="L100" s="3">
        <f>ROUND(1.176421953707366,2)</f>
        <v/>
      </c>
      <c r="M100" s="3" t="n">
        <v>39</v>
      </c>
      <c r="N100" s="3">
        <f>ROUND(6.759098786828423,2)</f>
        <v/>
      </c>
      <c r="O100" s="3">
        <f>ROUND(3.3855670151524384,2)</f>
        <v/>
      </c>
      <c r="P100" s="3">
        <f>IF(M100&gt;0,ROUND(J100/M100,2),999)</f>
        <v/>
      </c>
      <c r="Q100" s="3">
        <f>ROUND(3.72,2)</f>
        <v/>
      </c>
      <c r="R100" s="2" t="inlineStr">
        <is>
          <t>Winner-Kept</t>
        </is>
      </c>
      <c r="S100" s="2" t="inlineStr">
        <is>
          <t>N</t>
        </is>
      </c>
      <c r="T100" s="2" t="inlineStr">
        <is>
          <t>Mobile-first design improves CTR by 12%</t>
        </is>
      </c>
    </row>
    <row r="101">
      <c r="A101" s="4" t="inlineStr">
        <is>
          <t>CRE_100</t>
        </is>
      </c>
      <c r="B101" s="4" t="inlineStr">
        <is>
          <t>Creative_100</t>
        </is>
      </c>
      <c r="C101" s="4" t="inlineStr">
        <is>
          <t>YouTube</t>
        </is>
      </c>
      <c r="D101" s="4" t="inlineStr">
        <is>
          <t>Image</t>
        </is>
      </c>
      <c r="E101" s="4" t="inlineStr">
        <is>
          <t>Lifestyle</t>
        </is>
      </c>
      <c r="F101" s="4" t="n">
        <v>4</v>
      </c>
      <c r="G101" s="4" t="inlineStr">
        <is>
          <t>2024-11-05</t>
        </is>
      </c>
      <c r="H101" s="4" t="inlineStr">
        <is>
          <t>2024-11-16</t>
        </is>
      </c>
      <c r="I101" s="4" t="inlineStr">
        <is>
          <t>Eco-Minded Family</t>
        </is>
      </c>
      <c r="J101" s="5">
        <f>2264.11</f>
        <v/>
      </c>
      <c r="K101" s="5" t="n">
        <v>40960</v>
      </c>
      <c r="L101" s="5">
        <f>ROUND(3.547646054305157,2)</f>
        <v/>
      </c>
      <c r="M101" s="5" t="n">
        <v>132</v>
      </c>
      <c r="N101" s="5">
        <f>ROUND(9.084652443220923,2)</f>
        <v/>
      </c>
      <c r="O101" s="5">
        <f>ROUND(5.321016140875974,2)</f>
        <v/>
      </c>
      <c r="P101" s="5">
        <f>IF(M101&gt;0,ROUND(J101/M101,2),999)</f>
        <v/>
      </c>
      <c r="Q101" s="5">
        <f>ROUND(1.76,2)</f>
        <v/>
      </c>
      <c r="R101" s="4" t="inlineStr">
        <is>
          <t>Fatigue</t>
        </is>
      </c>
      <c r="S101" s="4" t="inlineStr">
        <is>
          <t>Y</t>
        </is>
      </c>
      <c r="T101" s="4" t="inlineStr">
        <is>
          <t>Seasonal box creative timed to holidays drives pre-orders</t>
        </is>
      </c>
    </row>
    <row r="102">
      <c r="A102" s="2" t="inlineStr">
        <is>
          <t>CRE_101</t>
        </is>
      </c>
      <c r="B102" s="2" t="inlineStr">
        <is>
          <t>Creative_101</t>
        </is>
      </c>
      <c r="C102" s="2" t="inlineStr">
        <is>
          <t>Google Search</t>
        </is>
      </c>
      <c r="D102" s="2" t="inlineStr">
        <is>
          <t>Reel</t>
        </is>
      </c>
      <c r="E102" s="2" t="inlineStr">
        <is>
          <t>Seasonal</t>
        </is>
      </c>
      <c r="F102" s="2" t="n">
        <v>1</v>
      </c>
      <c r="G102" s="2" t="inlineStr">
        <is>
          <t>2024-03-19</t>
        </is>
      </c>
      <c r="H102" s="2" t="inlineStr">
        <is>
          <t>2024-04-20</t>
        </is>
      </c>
      <c r="I102" s="2" t="inlineStr">
        <is>
          <t>Fitness Enthusiast</t>
        </is>
      </c>
      <c r="J102" s="3">
        <f>4755.48</f>
        <v/>
      </c>
      <c r="K102" s="3" t="n">
        <v>77951</v>
      </c>
      <c r="L102" s="3">
        <f>ROUND(2.0884781860103585,2)</f>
        <v/>
      </c>
      <c r="M102" s="3" t="n">
        <v>65</v>
      </c>
      <c r="N102" s="3">
        <f>ROUND(3.995082974800246,2)</f>
        <v/>
      </c>
      <c r="O102" s="3">
        <f>ROUND(2.8430096671308105,2)</f>
        <v/>
      </c>
      <c r="P102" s="3">
        <f>IF(M102&gt;0,ROUND(J102/M102,2),999)</f>
        <v/>
      </c>
      <c r="Q102" s="3">
        <f>ROUND(1.84,2)</f>
        <v/>
      </c>
      <c r="R102" s="2" t="inlineStr">
        <is>
          <t>Fatigue</t>
        </is>
      </c>
      <c r="S102" s="2" t="inlineStr">
        <is>
          <t>N</t>
        </is>
      </c>
      <c r="T102" s="2" t="inlineStr">
        <is>
          <t>Testimonial videos generate 5.1x ROAS</t>
        </is>
      </c>
    </row>
    <row r="103">
      <c r="A103" s="4" t="inlineStr">
        <is>
          <t>CRE_102</t>
        </is>
      </c>
      <c r="B103" s="4" t="inlineStr">
        <is>
          <t>Creative_102</t>
        </is>
      </c>
      <c r="C103" s="4" t="inlineStr">
        <is>
          <t>Google Search</t>
        </is>
      </c>
      <c r="D103" s="4" t="inlineStr">
        <is>
          <t>Reel</t>
        </is>
      </c>
      <c r="E103" s="4" t="inlineStr">
        <is>
          <t>Product</t>
        </is>
      </c>
      <c r="F103" s="4" t="n">
        <v>1</v>
      </c>
      <c r="G103" s="4" t="inlineStr">
        <is>
          <t>2024-01-07</t>
        </is>
      </c>
      <c r="H103" s="4" t="inlineStr">
        <is>
          <t>2024-01-13</t>
        </is>
      </c>
      <c r="I103" s="4" t="inlineStr">
        <is>
          <t>Lapsed Subscriber</t>
        </is>
      </c>
      <c r="J103" s="5">
        <f>3688.95</f>
        <v/>
      </c>
      <c r="K103" s="5" t="n">
        <v>40866</v>
      </c>
      <c r="L103" s="5">
        <f>ROUND(2.597394818378247,2)</f>
        <v/>
      </c>
      <c r="M103" s="5" t="n">
        <v>48</v>
      </c>
      <c r="N103" s="5">
        <f>ROUND(4.524033930254477,2)</f>
        <v/>
      </c>
      <c r="O103" s="5">
        <f>ROUND(2.473556729260722,2)</f>
        <v/>
      </c>
      <c r="P103" s="5">
        <f>IF(M103&gt;0,ROUND(J103/M103,2),999)</f>
        <v/>
      </c>
      <c r="Q103" s="5">
        <f>ROUND(3.72,2)</f>
        <v/>
      </c>
      <c r="R103" s="4" t="inlineStr">
        <is>
          <t>Budget</t>
        </is>
      </c>
      <c r="S103" s="4" t="inlineStr">
        <is>
          <t>N</t>
        </is>
      </c>
      <c r="T103" s="4" t="inlineStr">
        <is>
          <t>Educational content (nutrition tips) builds longer-term retention</t>
        </is>
      </c>
    </row>
    <row r="104">
      <c r="A104" s="2" t="inlineStr">
        <is>
          <t>CRE_103</t>
        </is>
      </c>
      <c r="B104" s="2" t="inlineStr">
        <is>
          <t>Creative_103</t>
        </is>
      </c>
      <c r="C104" s="2" t="inlineStr">
        <is>
          <t>Google Search</t>
        </is>
      </c>
      <c r="D104" s="2" t="inlineStr">
        <is>
          <t>Carousel</t>
        </is>
      </c>
      <c r="E104" s="2" t="inlineStr">
        <is>
          <t>Lifestyle</t>
        </is>
      </c>
      <c r="F104" s="2" t="n">
        <v>1</v>
      </c>
      <c r="G104" s="2" t="inlineStr">
        <is>
          <t>2024-01-22</t>
        </is>
      </c>
      <c r="H104" s="2" t="inlineStr">
        <is>
          <t>2024-02-06</t>
        </is>
      </c>
      <c r="I104" s="2" t="inlineStr">
        <is>
          <t>Eco-Minded Family</t>
        </is>
      </c>
      <c r="J104" s="3">
        <f>3319.08</f>
        <v/>
      </c>
      <c r="K104" s="3" t="n">
        <v>55789</v>
      </c>
      <c r="L104" s="3">
        <f>ROUND(2.1232445808030884,2)</f>
        <v/>
      </c>
      <c r="M104" s="3" t="n">
        <v>79</v>
      </c>
      <c r="N104" s="3">
        <f>ROUND(6.672297297297297,2)</f>
        <v/>
      </c>
      <c r="O104" s="3">
        <f>ROUND(4.736489936396482,2)</f>
        <v/>
      </c>
      <c r="P104" s="3">
        <f>IF(M104&gt;0,ROUND(J104/M104,2),999)</f>
        <v/>
      </c>
      <c r="Q104" s="3">
        <f>ROUND(1.66,2)</f>
        <v/>
      </c>
      <c r="R104" s="2" t="inlineStr">
        <is>
          <t>Seasonal</t>
        </is>
      </c>
      <c r="S104" s="2" t="inlineStr">
        <is>
          <t>N</t>
        </is>
      </c>
      <c r="T104" s="2" t="inlineStr">
        <is>
          <t>Lifestyle imagery (cooking) outperforms product shots</t>
        </is>
      </c>
    </row>
    <row r="105">
      <c r="A105" s="4" t="inlineStr">
        <is>
          <t>CRE_104</t>
        </is>
      </c>
      <c r="B105" s="4" t="inlineStr">
        <is>
          <t>Creative_104</t>
        </is>
      </c>
      <c r="C105" s="4" t="inlineStr">
        <is>
          <t>Meta</t>
        </is>
      </c>
      <c r="D105" s="4" t="inlineStr">
        <is>
          <t>Reel</t>
        </is>
      </c>
      <c r="E105" s="4" t="inlineStr">
        <is>
          <t>UGC</t>
        </is>
      </c>
      <c r="F105" s="4" t="n">
        <v>1</v>
      </c>
      <c r="G105" s="4" t="inlineStr">
        <is>
          <t>2024-02-15</t>
        </is>
      </c>
      <c r="H105" s="4" t="inlineStr">
        <is>
          <t>2024-03-27</t>
        </is>
      </c>
      <c r="I105" s="4" t="inlineStr">
        <is>
          <t>Health-Conscious Professional</t>
        </is>
      </c>
      <c r="J105" s="5">
        <f>2960.32</f>
        <v/>
      </c>
      <c r="K105" s="5" t="n">
        <v>33165</v>
      </c>
      <c r="L105" s="5">
        <f>ROUND(4.2680750330933765,2)</f>
        <v/>
      </c>
      <c r="M105" s="5" t="n">
        <v>101</v>
      </c>
      <c r="N105" s="5">
        <f>ROUND(7.137809187279152,2)</f>
        <v/>
      </c>
      <c r="O105" s="5">
        <f>ROUND(2.011189334817042,2)</f>
        <v/>
      </c>
      <c r="P105" s="5">
        <f>IF(M105&gt;0,ROUND(J105/M105,2),999)</f>
        <v/>
      </c>
      <c r="Q105" s="5">
        <f>ROUND(1.65,2)</f>
        <v/>
      </c>
      <c r="R105" s="4" t="inlineStr">
        <is>
          <t>Lower CTR</t>
        </is>
      </c>
      <c r="S105" s="4" t="inlineStr">
        <is>
          <t>N</t>
        </is>
      </c>
      <c r="T105" s="4" t="inlineStr">
        <is>
          <t>UGC content outperforms staged product photography by 18%</t>
        </is>
      </c>
    </row>
    <row r="106">
      <c r="A106" s="2" t="inlineStr">
        <is>
          <t>CRE_105</t>
        </is>
      </c>
      <c r="B106" s="2" t="inlineStr">
        <is>
          <t>Creative_105</t>
        </is>
      </c>
      <c r="C106" s="2" t="inlineStr">
        <is>
          <t>Google Shopping</t>
        </is>
      </c>
      <c r="D106" s="2" t="inlineStr">
        <is>
          <t>Shopping</t>
        </is>
      </c>
      <c r="E106" s="2" t="inlineStr">
        <is>
          <t>Product</t>
        </is>
      </c>
      <c r="F106" s="2" t="n">
        <v>1</v>
      </c>
      <c r="G106" s="2" t="inlineStr">
        <is>
          <t>2024-02-22</t>
        </is>
      </c>
      <c r="H106" s="2" t="inlineStr">
        <is>
          <t>2024-03-17</t>
        </is>
      </c>
      <c r="I106" s="2" t="inlineStr">
        <is>
          <t>Lapsed Subscriber</t>
        </is>
      </c>
      <c r="J106" s="3">
        <f>4221.14</f>
        <v/>
      </c>
      <c r="K106" s="3" t="n">
        <v>61183</v>
      </c>
      <c r="L106" s="3">
        <f>ROUND(2.7101974427037514,2)</f>
        <v/>
      </c>
      <c r="M106" s="3" t="n">
        <v>191</v>
      </c>
      <c r="N106" s="3">
        <f>ROUND(11.51990349819059,2)</f>
        <v/>
      </c>
      <c r="O106" s="3">
        <f>ROUND(4.685282227017494,2)</f>
        <v/>
      </c>
      <c r="P106" s="3">
        <f>IF(M106&gt;0,ROUND(J106/M106,2),999)</f>
        <v/>
      </c>
      <c r="Q106" s="3">
        <f>ROUND(3.78,2)</f>
        <v/>
      </c>
      <c r="R106" s="2" t="inlineStr">
        <is>
          <t>Seasonal</t>
        </is>
      </c>
      <c r="S106" s="2" t="inlineStr">
        <is>
          <t>Y</t>
        </is>
      </c>
      <c r="T106" s="2" t="inlineStr">
        <is>
          <t>UGC content outperforms staged product photography by 18%</t>
        </is>
      </c>
    </row>
    <row r="107">
      <c r="A107" s="4" t="inlineStr">
        <is>
          <t>CRE_106</t>
        </is>
      </c>
      <c r="B107" s="4" t="inlineStr">
        <is>
          <t>Creative_106</t>
        </is>
      </c>
      <c r="C107" s="4" t="inlineStr">
        <is>
          <t>Google Search</t>
        </is>
      </c>
      <c r="D107" s="4" t="inlineStr">
        <is>
          <t>Story</t>
        </is>
      </c>
      <c r="E107" s="4" t="inlineStr">
        <is>
          <t>Promotional</t>
        </is>
      </c>
      <c r="F107" s="4" t="n">
        <v>2</v>
      </c>
      <c r="G107" s="4" t="inlineStr">
        <is>
          <t>2024-05-12</t>
        </is>
      </c>
      <c r="H107" s="4" t="inlineStr">
        <is>
          <t>2024-05-02</t>
        </is>
      </c>
      <c r="I107" s="4" t="inlineStr">
        <is>
          <t>Eco-Minded Family</t>
        </is>
      </c>
      <c r="J107" s="5">
        <f>1225.22</f>
        <v/>
      </c>
      <c r="K107" s="5" t="n">
        <v>21099</v>
      </c>
      <c r="L107" s="5">
        <f>ROUND(4.377965098293073,2)</f>
        <v/>
      </c>
      <c r="M107" s="5" t="n">
        <v>98</v>
      </c>
      <c r="N107" s="5">
        <f>ROUND(10.617551462621885,2)</f>
        <v/>
      </c>
      <c r="O107" s="5">
        <f>ROUND(4.0946448358711205,2)</f>
        <v/>
      </c>
      <c r="P107" s="5">
        <f>IF(M107&gt;0,ROUND(J107/M107,2),999)</f>
        <v/>
      </c>
      <c r="Q107" s="5">
        <f>ROUND(2.63,2)</f>
        <v/>
      </c>
      <c r="R107" s="4" t="inlineStr">
        <is>
          <t>Winner-Kept</t>
        </is>
      </c>
      <c r="S107" s="4" t="inlineStr">
        <is>
          <t>Y</t>
        </is>
      </c>
      <c r="T107" s="4" t="inlineStr">
        <is>
          <t>Educational content (nutrition tips) builds longer-term retention</t>
        </is>
      </c>
    </row>
    <row r="108">
      <c r="A108" s="2" t="inlineStr">
        <is>
          <t>CRE_107</t>
        </is>
      </c>
      <c r="B108" s="2" t="inlineStr">
        <is>
          <t>Creative_107</t>
        </is>
      </c>
      <c r="C108" s="2" t="inlineStr">
        <is>
          <t>Meta</t>
        </is>
      </c>
      <c r="D108" s="2" t="inlineStr">
        <is>
          <t>Carousel</t>
        </is>
      </c>
      <c r="E108" s="2" t="inlineStr">
        <is>
          <t>Promotional</t>
        </is>
      </c>
      <c r="F108" s="2" t="n">
        <v>2</v>
      </c>
      <c r="G108" s="2" t="inlineStr">
        <is>
          <t>2024-04-08</t>
        </is>
      </c>
      <c r="H108" s="2" t="inlineStr">
        <is>
          <t>2024-04-05</t>
        </is>
      </c>
      <c r="I108" s="2" t="inlineStr">
        <is>
          <t>Gift Purchaser</t>
        </is>
      </c>
      <c r="J108" s="3">
        <f>825.09</f>
        <v/>
      </c>
      <c r="K108" s="3" t="n">
        <v>7032</v>
      </c>
      <c r="L108" s="3">
        <f>ROUND(0.6415688262914934,2)</f>
        <v/>
      </c>
      <c r="M108" s="3" t="n">
        <v>4</v>
      </c>
      <c r="N108" s="3">
        <f>ROUND(8.88888888888889,2)</f>
        <v/>
      </c>
      <c r="O108" s="3">
        <f>ROUND(3.768640311655273,2)</f>
        <v/>
      </c>
      <c r="P108" s="3">
        <f>IF(M108&gt;0,ROUND(J108/M108,2),999)</f>
        <v/>
      </c>
      <c r="Q108" s="3">
        <f>ROUND(2.58,2)</f>
        <v/>
      </c>
      <c r="R108" s="2" t="inlineStr">
        <is>
          <t>Budget</t>
        </is>
      </c>
      <c r="S108" s="2" t="inlineStr">
        <is>
          <t>N</t>
        </is>
      </c>
      <c r="T108" s="2" t="inlineStr">
        <is>
          <t>Diversity in creative assets critical after 2 weeks of exposure</t>
        </is>
      </c>
    </row>
    <row r="109">
      <c r="A109" s="4" t="inlineStr">
        <is>
          <t>CRE_108</t>
        </is>
      </c>
      <c r="B109" s="4" t="inlineStr">
        <is>
          <t>Creative_108</t>
        </is>
      </c>
      <c r="C109" s="4" t="inlineStr">
        <is>
          <t>Meta</t>
        </is>
      </c>
      <c r="D109" s="4" t="inlineStr">
        <is>
          <t>Reel</t>
        </is>
      </c>
      <c r="E109" s="4" t="inlineStr">
        <is>
          <t>Educational</t>
        </is>
      </c>
      <c r="F109" s="4" t="n">
        <v>2</v>
      </c>
      <c r="G109" s="4" t="inlineStr">
        <is>
          <t>2024-06-15</t>
        </is>
      </c>
      <c r="H109" s="4" t="inlineStr">
        <is>
          <t>2024-07-21</t>
        </is>
      </c>
      <c r="I109" s="4" t="inlineStr">
        <is>
          <t>Health-Conscious Professional</t>
        </is>
      </c>
      <c r="J109" s="5">
        <f>2419.52</f>
        <v/>
      </c>
      <c r="K109" s="5" t="n">
        <v>24109</v>
      </c>
      <c r="L109" s="5">
        <f>ROUND(2.2672058650808933,2)</f>
        <v/>
      </c>
      <c r="M109" s="5" t="n">
        <v>48</v>
      </c>
      <c r="N109" s="5">
        <f>ROUND(8.791208791208792,2)</f>
        <v/>
      </c>
      <c r="O109" s="5">
        <f>ROUND(4.284887488219691,2)</f>
        <v/>
      </c>
      <c r="P109" s="5">
        <f>IF(M109&gt;0,ROUND(J109/M109,2),999)</f>
        <v/>
      </c>
      <c r="Q109" s="5">
        <f>ROUND(2.49,2)</f>
        <v/>
      </c>
      <c r="R109" s="4" t="inlineStr">
        <is>
          <t>Budget</t>
        </is>
      </c>
      <c r="S109" s="4" t="inlineStr">
        <is>
          <t>N</t>
        </is>
      </c>
      <c r="T109" s="4" t="inlineStr">
        <is>
          <t>Morning timeslot (7-10 AM) drives highest conversion rate</t>
        </is>
      </c>
    </row>
    <row r="110">
      <c r="A110" s="2" t="inlineStr">
        <is>
          <t>CRE_109</t>
        </is>
      </c>
      <c r="B110" s="2" t="inlineStr">
        <is>
          <t>Creative_109</t>
        </is>
      </c>
      <c r="C110" s="2" t="inlineStr">
        <is>
          <t>Google Search</t>
        </is>
      </c>
      <c r="D110" s="2" t="inlineStr">
        <is>
          <t>Shopping</t>
        </is>
      </c>
      <c r="E110" s="2" t="inlineStr">
        <is>
          <t>Seasonal</t>
        </is>
      </c>
      <c r="F110" s="2" t="n">
        <v>2</v>
      </c>
      <c r="G110" s="2" t="inlineStr">
        <is>
          <t>2024-06-02</t>
        </is>
      </c>
      <c r="H110" s="2" t="inlineStr">
        <is>
          <t>2024-07-06</t>
        </is>
      </c>
      <c r="I110" s="2" t="inlineStr">
        <is>
          <t>Health-Conscious Professional</t>
        </is>
      </c>
      <c r="J110" s="3">
        <f>2660.30</f>
        <v/>
      </c>
      <c r="K110" s="3" t="n">
        <v>44798</v>
      </c>
      <c r="L110" s="3">
        <f>ROUND(1.4826946386661222,2)</f>
        <v/>
      </c>
      <c r="M110" s="3" t="n">
        <v>46</v>
      </c>
      <c r="N110" s="3">
        <f>ROUND(6.927710843373494,2)</f>
        <v/>
      </c>
      <c r="O110" s="3">
        <f>ROUND(5.421711872846973,2)</f>
        <v/>
      </c>
      <c r="P110" s="3">
        <f>IF(M110&gt;0,ROUND(J110/M110,2),999)</f>
        <v/>
      </c>
      <c r="Q110" s="3">
        <f>ROUND(2.35,2)</f>
        <v/>
      </c>
      <c r="R110" s="2" t="inlineStr">
        <is>
          <t>Fatigue</t>
        </is>
      </c>
      <c r="S110" s="2" t="inlineStr">
        <is>
          <t>N</t>
        </is>
      </c>
      <c r="T110" s="2" t="inlineStr">
        <is>
          <t>Story format shows highest engagement on Meta platforms</t>
        </is>
      </c>
    </row>
    <row r="111">
      <c r="A111" s="4" t="inlineStr">
        <is>
          <t>CRE_110</t>
        </is>
      </c>
      <c r="B111" s="4" t="inlineStr">
        <is>
          <t>Creative_110</t>
        </is>
      </c>
      <c r="C111" s="4" t="inlineStr">
        <is>
          <t>Google Shopping</t>
        </is>
      </c>
      <c r="D111" s="4" t="inlineStr">
        <is>
          <t>Video</t>
        </is>
      </c>
      <c r="E111" s="4" t="inlineStr">
        <is>
          <t>Educational</t>
        </is>
      </c>
      <c r="F111" s="4" t="n">
        <v>2</v>
      </c>
      <c r="G111" s="4" t="inlineStr">
        <is>
          <t>2024-04-04</t>
        </is>
      </c>
      <c r="H111" s="4" t="inlineStr">
        <is>
          <t>2024-05-20</t>
        </is>
      </c>
      <c r="I111" s="4" t="inlineStr">
        <is>
          <t>Lapsed Subscriber</t>
        </is>
      </c>
      <c r="J111" s="5">
        <f>1982.29</f>
        <v/>
      </c>
      <c r="K111" s="5" t="n">
        <v>38420</v>
      </c>
      <c r="L111" s="5">
        <f>ROUND(4.101005107621442,2)</f>
        <v/>
      </c>
      <c r="M111" s="5" t="n">
        <v>177</v>
      </c>
      <c r="N111" s="5">
        <f>ROUND(11.238095238095239,2)</f>
        <v/>
      </c>
      <c r="O111" s="5">
        <f>ROUND(2.319958792958337,2)</f>
        <v/>
      </c>
      <c r="P111" s="5">
        <f>IF(M111&gt;0,ROUND(J111/M111,2),999)</f>
        <v/>
      </c>
      <c r="Q111" s="5">
        <f>ROUND(3.57,2)</f>
        <v/>
      </c>
      <c r="R111" s="4" t="inlineStr">
        <is>
          <t>Budget</t>
        </is>
      </c>
      <c r="S111" s="4" t="inlineStr">
        <is>
          <t>N</t>
        </is>
      </c>
      <c r="T111" s="4" t="inlineStr">
        <is>
          <t>Seasonal messaging (Spring/Eco) achieved 4.9x ROAS</t>
        </is>
      </c>
    </row>
    <row r="112">
      <c r="A112" s="2" t="inlineStr">
        <is>
          <t>CRE_111</t>
        </is>
      </c>
      <c r="B112" s="2" t="inlineStr">
        <is>
          <t>Creative_111</t>
        </is>
      </c>
      <c r="C112" s="2" t="inlineStr">
        <is>
          <t>Google Shopping</t>
        </is>
      </c>
      <c r="D112" s="2" t="inlineStr">
        <is>
          <t>Story</t>
        </is>
      </c>
      <c r="E112" s="2" t="inlineStr">
        <is>
          <t>UGC</t>
        </is>
      </c>
      <c r="F112" s="2" t="n">
        <v>3</v>
      </c>
      <c r="G112" s="2" t="inlineStr">
        <is>
          <t>2024-07-24</t>
        </is>
      </c>
      <c r="H112" s="2" t="inlineStr">
        <is>
          <t>2024-07-10</t>
        </is>
      </c>
      <c r="I112" s="2" t="inlineStr">
        <is>
          <t>Fitness Enthusiast</t>
        </is>
      </c>
      <c r="J112" s="3">
        <f>1227.32</f>
        <v/>
      </c>
      <c r="K112" s="3" t="n">
        <v>12662</v>
      </c>
      <c r="L112" s="3">
        <f>ROUND(0.9720345685465541,2)</f>
        <v/>
      </c>
      <c r="M112" s="3" t="n">
        <v>12</v>
      </c>
      <c r="N112" s="3">
        <f>ROUND(9.75609756097561,2)</f>
        <v/>
      </c>
      <c r="O112" s="3">
        <f>ROUND(1.8346160804572993,2)</f>
        <v/>
      </c>
      <c r="P112" s="3">
        <f>IF(M112&gt;0,ROUND(J112/M112,2),999)</f>
        <v/>
      </c>
      <c r="Q112" s="3">
        <f>ROUND(3.2,2)</f>
        <v/>
      </c>
      <c r="R112" s="2" t="inlineStr">
        <is>
          <t>Winner-Kept</t>
        </is>
      </c>
      <c r="S112" s="2" t="inlineStr">
        <is>
          <t>N</t>
        </is>
      </c>
      <c r="T112" s="2" t="inlineStr">
        <is>
          <t>Video format shows 2.3x higher CVR than static images</t>
        </is>
      </c>
    </row>
    <row r="113">
      <c r="A113" s="4" t="inlineStr">
        <is>
          <t>CRE_112</t>
        </is>
      </c>
      <c r="B113" s="4" t="inlineStr">
        <is>
          <t>Creative_112</t>
        </is>
      </c>
      <c r="C113" s="4" t="inlineStr">
        <is>
          <t>Google Shopping</t>
        </is>
      </c>
      <c r="D113" s="4" t="inlineStr">
        <is>
          <t>Shopping</t>
        </is>
      </c>
      <c r="E113" s="4" t="inlineStr">
        <is>
          <t>Lifestyle</t>
        </is>
      </c>
      <c r="F113" s="4" t="n">
        <v>3</v>
      </c>
      <c r="G113" s="4" t="inlineStr">
        <is>
          <t>2024-07-09</t>
        </is>
      </c>
      <c r="H113" s="4" t="inlineStr">
        <is>
          <t>2024-07-16</t>
        </is>
      </c>
      <c r="I113" s="4" t="inlineStr">
        <is>
          <t>Health-Conscious Professional</t>
        </is>
      </c>
      <c r="J113" s="5">
        <f>3652.21</f>
        <v/>
      </c>
      <c r="K113" s="5" t="n">
        <v>60931</v>
      </c>
      <c r="L113" s="5">
        <f>ROUND(0.7459897063385958,2)</f>
        <v/>
      </c>
      <c r="M113" s="5" t="n">
        <v>40</v>
      </c>
      <c r="N113" s="5">
        <f>ROUND(8.81057268722467,2)</f>
        <v/>
      </c>
      <c r="O113" s="5">
        <f>ROUND(5.480501882629156,2)</f>
        <v/>
      </c>
      <c r="P113" s="5">
        <f>IF(M113&gt;0,ROUND(J113/M113,2),999)</f>
        <v/>
      </c>
      <c r="Q113" s="5">
        <f>ROUND(1.63,2)</f>
        <v/>
      </c>
      <c r="R113" s="4" t="inlineStr">
        <is>
          <t>CAC Increase</t>
        </is>
      </c>
      <c r="S113" s="4" t="inlineStr">
        <is>
          <t>N</t>
        </is>
      </c>
      <c r="T113" s="4" t="inlineStr">
        <is>
          <t>Educational content (nutrition tips) builds longer-term retention</t>
        </is>
      </c>
    </row>
    <row r="114">
      <c r="A114" s="2" t="inlineStr">
        <is>
          <t>CRE_113</t>
        </is>
      </c>
      <c r="B114" s="2" t="inlineStr">
        <is>
          <t>Creative_113</t>
        </is>
      </c>
      <c r="C114" s="2" t="inlineStr">
        <is>
          <t>Google Search</t>
        </is>
      </c>
      <c r="D114" s="2" t="inlineStr">
        <is>
          <t>Image</t>
        </is>
      </c>
      <c r="E114" s="2" t="inlineStr">
        <is>
          <t>Seasonal</t>
        </is>
      </c>
      <c r="F114" s="2" t="n">
        <v>3</v>
      </c>
      <c r="G114" s="2" t="inlineStr">
        <is>
          <t>2024-08-04</t>
        </is>
      </c>
      <c r="H114" s="2" t="inlineStr">
        <is>
          <t>2024-09-05</t>
        </is>
      </c>
      <c r="I114" s="2" t="inlineStr">
        <is>
          <t>Fitness Enthusiast</t>
        </is>
      </c>
      <c r="J114" s="3">
        <f>2199.62</f>
        <v/>
      </c>
      <c r="K114" s="3" t="n">
        <v>40175</v>
      </c>
      <c r="L114" s="3">
        <f>ROUND(4.171295646882644,2)</f>
        <v/>
      </c>
      <c r="M114" s="3" t="n">
        <v>96</v>
      </c>
      <c r="N114" s="3">
        <f>ROUND(5.731343283582089,2)</f>
        <v/>
      </c>
      <c r="O114" s="3">
        <f>ROUND(4.961624263635953,2)</f>
        <v/>
      </c>
      <c r="P114" s="3">
        <f>IF(M114&gt;0,ROUND(J114/M114,2),999)</f>
        <v/>
      </c>
      <c r="Q114" s="3">
        <f>ROUND(3.26,2)</f>
        <v/>
      </c>
      <c r="R114" s="2" t="inlineStr">
        <is>
          <t>CAC Increase</t>
        </is>
      </c>
      <c r="S114" s="2" t="inlineStr">
        <is>
          <t>Y</t>
        </is>
      </c>
      <c r="T114" s="2" t="inlineStr">
        <is>
          <t>Educational content (nutrition tips) builds longer-term retention</t>
        </is>
      </c>
    </row>
    <row r="115">
      <c r="A115" s="4" t="inlineStr">
        <is>
          <t>CRE_114</t>
        </is>
      </c>
      <c r="B115" s="4" t="inlineStr">
        <is>
          <t>Creative_114</t>
        </is>
      </c>
      <c r="C115" s="4" t="inlineStr">
        <is>
          <t>YouTube</t>
        </is>
      </c>
      <c r="D115" s="4" t="inlineStr">
        <is>
          <t>Carousel</t>
        </is>
      </c>
      <c r="E115" s="4" t="inlineStr">
        <is>
          <t>Seasonal</t>
        </is>
      </c>
      <c r="F115" s="4" t="n">
        <v>3</v>
      </c>
      <c r="G115" s="4" t="inlineStr">
        <is>
          <t>2024-08-19</t>
        </is>
      </c>
      <c r="H115" s="4" t="inlineStr">
        <is>
          <t>2024-09-16</t>
        </is>
      </c>
      <c r="I115" s="4" t="inlineStr">
        <is>
          <t>Fitness Enthusiast</t>
        </is>
      </c>
      <c r="J115" s="5">
        <f>2809.06</f>
        <v/>
      </c>
      <c r="K115" s="5" t="n">
        <v>32736</v>
      </c>
      <c r="L115" s="5">
        <f>ROUND(3.553860246833525,2)</f>
        <v/>
      </c>
      <c r="M115" s="5" t="n">
        <v>89</v>
      </c>
      <c r="N115" s="5">
        <f>ROUND(7.65262252794497,2)</f>
        <v/>
      </c>
      <c r="O115" s="5">
        <f>ROUND(5.397051279094361,2)</f>
        <v/>
      </c>
      <c r="P115" s="5">
        <f>IF(M115&gt;0,ROUND(J115/M115,2),999)</f>
        <v/>
      </c>
      <c r="Q115" s="5">
        <f>ROUND(2.59,2)</f>
        <v/>
      </c>
      <c r="R115" s="4" t="inlineStr">
        <is>
          <t>Inventory Issue</t>
        </is>
      </c>
      <c r="S115" s="4" t="inlineStr">
        <is>
          <t>N</t>
        </is>
      </c>
      <c r="T115" s="4" t="inlineStr">
        <is>
          <t>Price-focused messaging performs worse with affluent segments</t>
        </is>
      </c>
    </row>
    <row r="116">
      <c r="A116" s="2" t="inlineStr">
        <is>
          <t>CRE_115</t>
        </is>
      </c>
      <c r="B116" s="2" t="inlineStr">
        <is>
          <t>Creative_115</t>
        </is>
      </c>
      <c r="C116" s="2" t="inlineStr">
        <is>
          <t>Google Shopping</t>
        </is>
      </c>
      <c r="D116" s="2" t="inlineStr">
        <is>
          <t>Image</t>
        </is>
      </c>
      <c r="E116" s="2" t="inlineStr">
        <is>
          <t>UGC</t>
        </is>
      </c>
      <c r="F116" s="2" t="n">
        <v>3</v>
      </c>
      <c r="G116" s="2" t="inlineStr">
        <is>
          <t>2024-07-06</t>
        </is>
      </c>
      <c r="H116" s="2" t="inlineStr">
        <is>
          <t>2024-07-09</t>
        </is>
      </c>
      <c r="I116" s="2" t="inlineStr">
        <is>
          <t>Gift Purchaser</t>
        </is>
      </c>
      <c r="J116" s="3">
        <f>3612.09</f>
        <v/>
      </c>
      <c r="K116" s="3" t="n">
        <v>52812</v>
      </c>
      <c r="L116" s="3">
        <f>ROUND(4.106300953504957,2)</f>
        <v/>
      </c>
      <c r="M116" s="3" t="n">
        <v>117</v>
      </c>
      <c r="N116" s="3">
        <f>ROUND(5.3966789667896675,2)</f>
        <v/>
      </c>
      <c r="O116" s="3">
        <f>ROUND(3.1788086213795763,2)</f>
        <v/>
      </c>
      <c r="P116" s="3">
        <f>IF(M116&gt;0,ROUND(J116/M116,2),999)</f>
        <v/>
      </c>
      <c r="Q116" s="3">
        <f>ROUND(2.88,2)</f>
        <v/>
      </c>
      <c r="R116" s="2" t="inlineStr">
        <is>
          <t>Fatigue</t>
        </is>
      </c>
      <c r="S116" s="2" t="inlineStr">
        <is>
          <t>N</t>
        </is>
      </c>
      <c r="T116" s="2" t="inlineStr">
        <is>
          <t>Gift messaging increases AOV by 15% in Q4</t>
        </is>
      </c>
    </row>
    <row r="117">
      <c r="A117" s="4" t="inlineStr">
        <is>
          <t>CRE_116</t>
        </is>
      </c>
      <c r="B117" s="4" t="inlineStr">
        <is>
          <t>Creative_116</t>
        </is>
      </c>
      <c r="C117" s="4" t="inlineStr">
        <is>
          <t>Google Search</t>
        </is>
      </c>
      <c r="D117" s="4" t="inlineStr">
        <is>
          <t>Video</t>
        </is>
      </c>
      <c r="E117" s="4" t="inlineStr">
        <is>
          <t>Product</t>
        </is>
      </c>
      <c r="F117" s="4" t="n">
        <v>4</v>
      </c>
      <c r="G117" s="4" t="inlineStr">
        <is>
          <t>2024-11-08</t>
        </is>
      </c>
      <c r="H117" s="4" t="inlineStr">
        <is>
          <t>2024-12-17</t>
        </is>
      </c>
      <c r="I117" s="4" t="inlineStr">
        <is>
          <t>Fitness Enthusiast</t>
        </is>
      </c>
      <c r="J117" s="5">
        <f>3837.11</f>
        <v/>
      </c>
      <c r="K117" s="5" t="n">
        <v>33887</v>
      </c>
      <c r="L117" s="5">
        <f>ROUND(0.9570485296271594,2)</f>
        <v/>
      </c>
      <c r="M117" s="5" t="n">
        <v>30</v>
      </c>
      <c r="N117" s="5">
        <f>ROUND(9.25925925925926,2)</f>
        <v/>
      </c>
      <c r="O117" s="5">
        <f>ROUND(3.7325186455214823,2)</f>
        <v/>
      </c>
      <c r="P117" s="5">
        <f>IF(M117&gt;0,ROUND(J117/M117,2),999)</f>
        <v/>
      </c>
      <c r="Q117" s="5">
        <f>ROUND(1.36,2)</f>
        <v/>
      </c>
      <c r="R117" s="4" t="inlineStr">
        <is>
          <t>Test-Complete</t>
        </is>
      </c>
      <c r="S117" s="4" t="inlineStr">
        <is>
          <t>N</t>
        </is>
      </c>
      <c r="T117" s="4" t="inlineStr">
        <is>
          <t>Diversity in creative assets critical after 2 weeks of exposure</t>
        </is>
      </c>
    </row>
    <row r="118">
      <c r="A118" s="2" t="inlineStr">
        <is>
          <t>CRE_117</t>
        </is>
      </c>
      <c r="B118" s="2" t="inlineStr">
        <is>
          <t>Creative_117</t>
        </is>
      </c>
      <c r="C118" s="2" t="inlineStr">
        <is>
          <t>TikTok</t>
        </is>
      </c>
      <c r="D118" s="2" t="inlineStr">
        <is>
          <t>Image</t>
        </is>
      </c>
      <c r="E118" s="2" t="inlineStr">
        <is>
          <t>Product</t>
        </is>
      </c>
      <c r="F118" s="2" t="n">
        <v>4</v>
      </c>
      <c r="G118" s="2" t="inlineStr">
        <is>
          <t>2024-11-23</t>
        </is>
      </c>
      <c r="H118" s="2" t="inlineStr">
        <is>
          <t>2024-11-28</t>
        </is>
      </c>
      <c r="I118" s="2" t="inlineStr">
        <is>
          <t>Fitness Enthusiast</t>
        </is>
      </c>
      <c r="J118" s="3">
        <f>4742.80</f>
        <v/>
      </c>
      <c r="K118" s="3" t="n">
        <v>39156</v>
      </c>
      <c r="L118" s="3">
        <f>ROUND(0.8937338715547511,2)</f>
        <v/>
      </c>
      <c r="M118" s="3" t="n">
        <v>33</v>
      </c>
      <c r="N118" s="3">
        <f>ROUND(9.455587392550143,2)</f>
        <v/>
      </c>
      <c r="O118" s="3">
        <f>ROUND(3.557563431552302,2)</f>
        <v/>
      </c>
      <c r="P118" s="3">
        <f>IF(M118&gt;0,ROUND(J118/M118,2),999)</f>
        <v/>
      </c>
      <c r="Q118" s="3">
        <f>ROUND(2.75,2)</f>
        <v/>
      </c>
      <c r="R118" s="2" t="inlineStr">
        <is>
          <t>Winner-Kept</t>
        </is>
      </c>
      <c r="S118" s="2" t="inlineStr">
        <is>
          <t>N</t>
        </is>
      </c>
      <c r="T118" s="2" t="inlineStr">
        <is>
          <t>Family-focused messaging resonates with suburban audiences</t>
        </is>
      </c>
    </row>
    <row r="119">
      <c r="A119" s="4" t="inlineStr">
        <is>
          <t>CRE_118</t>
        </is>
      </c>
      <c r="B119" s="4" t="inlineStr">
        <is>
          <t>Creative_118</t>
        </is>
      </c>
      <c r="C119" s="4" t="inlineStr">
        <is>
          <t>YouTube</t>
        </is>
      </c>
      <c r="D119" s="4" t="inlineStr">
        <is>
          <t>Reel</t>
        </is>
      </c>
      <c r="E119" s="4" t="inlineStr">
        <is>
          <t>Product</t>
        </is>
      </c>
      <c r="F119" s="4" t="n">
        <v>4</v>
      </c>
      <c r="G119" s="4" t="inlineStr">
        <is>
          <t>2024-11-27</t>
        </is>
      </c>
      <c r="H119" s="4" t="inlineStr">
        <is>
          <t>2024-11-08</t>
        </is>
      </c>
      <c r="I119" s="4" t="inlineStr">
        <is>
          <t>Eco-Minded Family</t>
        </is>
      </c>
      <c r="J119" s="5">
        <f>2301.68</f>
        <v/>
      </c>
      <c r="K119" s="5" t="n">
        <v>38859</v>
      </c>
      <c r="L119" s="5">
        <f>ROUND(2.5474498224362074,2)</f>
        <v/>
      </c>
      <c r="M119" s="5" t="n">
        <v>115</v>
      </c>
      <c r="N119" s="5">
        <f>ROUND(11.627906976744185,2)</f>
        <v/>
      </c>
      <c r="O119" s="5">
        <f>ROUND(4.043251491384375,2)</f>
        <v/>
      </c>
      <c r="P119" s="5">
        <f>IF(M119&gt;0,ROUND(J119/M119,2),999)</f>
        <v/>
      </c>
      <c r="Q119" s="5">
        <f>ROUND(2.08,2)</f>
        <v/>
      </c>
      <c r="R119" s="4" t="inlineStr">
        <is>
          <t>Winner-Kept</t>
        </is>
      </c>
      <c r="S119" s="4" t="inlineStr">
        <is>
          <t>Y</t>
        </is>
      </c>
      <c r="T119" s="4" t="inlineStr">
        <is>
          <t>Seasonal box creative timed to holidays drives pre-orders</t>
        </is>
      </c>
    </row>
    <row r="120">
      <c r="A120" s="2" t="inlineStr">
        <is>
          <t>CRE_119</t>
        </is>
      </c>
      <c r="B120" s="2" t="inlineStr">
        <is>
          <t>Creative_119</t>
        </is>
      </c>
      <c r="C120" s="2" t="inlineStr">
        <is>
          <t>Google Search</t>
        </is>
      </c>
      <c r="D120" s="2" t="inlineStr">
        <is>
          <t>Story</t>
        </is>
      </c>
      <c r="E120" s="2" t="inlineStr">
        <is>
          <t>Promotional</t>
        </is>
      </c>
      <c r="F120" s="2" t="n">
        <v>4</v>
      </c>
      <c r="G120" s="2" t="inlineStr">
        <is>
          <t>2024-12-12</t>
        </is>
      </c>
      <c r="H120" s="2" t="inlineStr">
        <is>
          <t>2024-12-17</t>
        </is>
      </c>
      <c r="I120" s="2" t="inlineStr">
        <is>
          <t>Gift Purchaser</t>
        </is>
      </c>
      <c r="J120" s="3">
        <f>4364.49</f>
        <v/>
      </c>
      <c r="K120" s="3" t="n">
        <v>76214</v>
      </c>
      <c r="L120" s="3">
        <f>ROUND(1.3128456638588486,2)</f>
        <v/>
      </c>
      <c r="M120" s="3" t="n">
        <v>68</v>
      </c>
      <c r="N120" s="3">
        <f>ROUND(6.800000000000001,2)</f>
        <v/>
      </c>
      <c r="O120" s="3">
        <f>ROUND(3.5174926761000886,2)</f>
        <v/>
      </c>
      <c r="P120" s="3">
        <f>IF(M120&gt;0,ROUND(J120/M120,2),999)</f>
        <v/>
      </c>
      <c r="Q120" s="3">
        <f>ROUND(2.8,2)</f>
        <v/>
      </c>
      <c r="R120" s="2" t="inlineStr">
        <is>
          <t>Inventory Issue</t>
        </is>
      </c>
      <c r="S120" s="2" t="inlineStr">
        <is>
          <t>N</t>
        </is>
      </c>
      <c r="T120" s="2" t="inlineStr">
        <is>
          <t>Seasonal messaging (Spring/Eco) achieved 4.9x ROAS</t>
        </is>
      </c>
    </row>
    <row r="121">
      <c r="A121" s="4" t="inlineStr">
        <is>
          <t>CRE_120</t>
        </is>
      </c>
      <c r="B121" s="4" t="inlineStr">
        <is>
          <t>Creative_120</t>
        </is>
      </c>
      <c r="C121" s="4" t="inlineStr">
        <is>
          <t>Google Shopping</t>
        </is>
      </c>
      <c r="D121" s="4" t="inlineStr">
        <is>
          <t>Reel</t>
        </is>
      </c>
      <c r="E121" s="4" t="inlineStr">
        <is>
          <t>Lifestyle</t>
        </is>
      </c>
      <c r="F121" s="4" t="n">
        <v>4</v>
      </c>
      <c r="G121" s="4" t="inlineStr">
        <is>
          <t>2024-10-01</t>
        </is>
      </c>
      <c r="H121" s="4" t="inlineStr">
        <is>
          <t>2024-11-19</t>
        </is>
      </c>
      <c r="I121" s="4" t="inlineStr">
        <is>
          <t>Eco-Minded Family</t>
        </is>
      </c>
      <c r="J121" s="5">
        <f>3890.29</f>
        <v/>
      </c>
      <c r="K121" s="5" t="n">
        <v>34981</v>
      </c>
      <c r="L121" s="5">
        <f>ROUND(1.5433843708133281,2)</f>
        <v/>
      </c>
      <c r="M121" s="5" t="n">
        <v>36</v>
      </c>
      <c r="N121" s="5">
        <f>ROUND(6.679035250463822,2)</f>
        <v/>
      </c>
      <c r="O121" s="5">
        <f>ROUND(3.890564667438264,2)</f>
        <v/>
      </c>
      <c r="P121" s="5">
        <f>IF(M121&gt;0,ROUND(J121/M121,2),999)</f>
        <v/>
      </c>
      <c r="Q121" s="5">
        <f>ROUND(3.63,2)</f>
        <v/>
      </c>
      <c r="R121" s="4" t="inlineStr">
        <is>
          <t>Winner-Kept</t>
        </is>
      </c>
      <c r="S121" s="4" t="inlineStr">
        <is>
          <t>N</t>
        </is>
      </c>
      <c r="T121" s="4" t="inlineStr">
        <is>
          <t>Mobile-first design improves CTR by 12%</t>
        </is>
      </c>
    </row>
    <row r="122">
      <c r="J122">
        <f>SUM(J2:J121)</f>
        <v/>
      </c>
      <c r="K122">
        <f>SUM(K2:K121)</f>
        <v/>
      </c>
      <c r="L122">
        <f>ROUND(AVERAGE(L2:L121),2)</f>
        <v/>
      </c>
      <c r="M122">
        <f>SUM(M2:M121)</f>
        <v/>
      </c>
      <c r="N122">
        <f>ROUND(AVERAGE(N2:N121),2)</f>
        <v/>
      </c>
      <c r="O122">
        <f>ROUND(AVERAGE(O2:O121),2)</f>
        <v/>
      </c>
      <c r="P122">
        <f>ROUND(AVERAGE(P2:P121),2)</f>
        <v/>
      </c>
      <c r="Q122">
        <f>ROUND(AVERAGE(Q2:Q121),2)</f>
        <v/>
      </c>
      <c r="S122">
        <f>COUNTIF(S2:S121,"Y")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5" customWidth="1" min="13" max="13"/>
    <col width="25" customWidth="1" min="14" max="14"/>
    <col width="13" customWidth="1" min="15" max="15"/>
    <col width="13" customWidth="1" min="16" max="16"/>
    <col width="40" customWidth="1" min="17" max="17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SKUs Active (#)</t>
        </is>
      </c>
      <c r="D1" s="1" t="inlineStr">
        <is>
          <t>Impressions (Shopping)</t>
        </is>
      </c>
      <c r="E1" s="1" t="inlineStr">
        <is>
          <t>Clicks</t>
        </is>
      </c>
      <c r="F1" s="1" t="inlineStr">
        <is>
          <t>CTR (%)</t>
        </is>
      </c>
      <c r="G1" s="1" t="inlineStr">
        <is>
          <t>Orders</t>
        </is>
      </c>
      <c r="H1" s="1" t="inlineStr">
        <is>
          <t>Revenue (CHF)</t>
        </is>
      </c>
      <c r="I1" s="1" t="inlineStr">
        <is>
          <t>Avg Order Value (CHF)</t>
        </is>
      </c>
      <c r="J1" s="1" t="inlineStr">
        <is>
          <t>ROAS from Shopping</t>
        </is>
      </c>
      <c r="K1" s="1" t="inlineStr">
        <is>
          <t>Return Rate (%)</t>
        </is>
      </c>
      <c r="L1" s="1" t="inlineStr">
        <is>
          <t>New Subscriber Rate (%)</t>
        </is>
      </c>
      <c r="M1" s="1" t="inlineStr">
        <is>
          <t>Top Performing SKU Name</t>
        </is>
      </c>
      <c r="N1" s="1" t="inlineStr">
        <is>
          <t>Worst Performing SKU Name</t>
        </is>
      </c>
      <c r="O1" s="1" t="inlineStr">
        <is>
          <t>Inventory Issue (Y/N)</t>
        </is>
      </c>
      <c r="P1" s="1" t="inlineStr">
        <is>
          <t>Promo Applied (Y/N)</t>
        </is>
      </c>
      <c r="Q1" s="1" t="inlineStr">
        <is>
          <t>Notes</t>
        </is>
      </c>
    </row>
    <row r="2">
      <c r="A2" s="2" t="inlineStr">
        <is>
          <t>Jan</t>
        </is>
      </c>
      <c r="B2" s="2" t="inlineStr">
        <is>
          <t>Weekly Meal Kit (Standard)</t>
        </is>
      </c>
      <c r="C2" s="3" t="n">
        <v>4</v>
      </c>
      <c r="D2" s="3" t="n">
        <v>2517</v>
      </c>
      <c r="E2" s="3" t="n">
        <v>83</v>
      </c>
      <c r="F2" s="3">
        <f>ROUND(E2/D2*100,2)</f>
        <v/>
      </c>
      <c r="G2" s="3" t="n">
        <v>7</v>
      </c>
      <c r="H2" s="3">
        <f>255.54</f>
        <v/>
      </c>
      <c r="I2" s="3">
        <f>ROUND(H2/G2,2)</f>
        <v/>
      </c>
      <c r="J2" s="3">
        <f>ROUND(20.53,2)</f>
        <v/>
      </c>
      <c r="K2" s="3">
        <f>ROUND(6.287804153314013,1)</f>
        <v/>
      </c>
      <c r="L2" s="3">
        <f>ROUND(13.80240791656509,1)</f>
        <v/>
      </c>
      <c r="M2" s="2" t="inlineStr">
        <is>
          <t>Vegetarian Delight</t>
        </is>
      </c>
      <c r="N2" s="2" t="inlineStr">
        <is>
          <t>Organic Pasta Kit</t>
        </is>
      </c>
      <c r="O2" s="2" t="inlineStr">
        <is>
          <t>N</t>
        </is>
      </c>
      <c r="P2" s="2" t="inlineStr">
        <is>
          <t>N</t>
        </is>
      </c>
      <c r="Q2" s="2" t="inlineStr">
        <is>
          <t>Gift box variant successfully launched; 22% of seasonal orders.</t>
        </is>
      </c>
    </row>
    <row r="3">
      <c r="A3" s="4" t="inlineStr">
        <is>
          <t>Jan</t>
        </is>
      </c>
      <c r="B3" s="4" t="inlineStr">
        <is>
          <t>Weekly Meal Kit (Family)</t>
        </is>
      </c>
      <c r="C3" s="5" t="n">
        <v>5</v>
      </c>
      <c r="D3" s="5" t="n">
        <v>4128</v>
      </c>
      <c r="E3" s="5" t="n">
        <v>165</v>
      </c>
      <c r="F3" s="5">
        <f>ROUND(E3/D3*100,2)</f>
        <v/>
      </c>
      <c r="G3" s="5" t="n">
        <v>14</v>
      </c>
      <c r="H3" s="5">
        <f>744.71</f>
        <v/>
      </c>
      <c r="I3" s="5">
        <f>ROUND(H3/G3,2)</f>
        <v/>
      </c>
      <c r="J3" s="5">
        <f>ROUND(30.09,2)</f>
        <v/>
      </c>
      <c r="K3" s="5">
        <f>ROUND(4.889002856356888,1)</f>
        <v/>
      </c>
      <c r="L3" s="5">
        <f>ROUND(15.594852970522236,1)</f>
        <v/>
      </c>
      <c r="M3" s="4" t="inlineStr">
        <is>
          <t>Family Italian</t>
        </is>
      </c>
      <c r="N3" s="4" t="inlineStr">
        <is>
          <t>Family BBQ</t>
        </is>
      </c>
      <c r="O3" s="4" t="inlineStr">
        <is>
          <t>N</t>
        </is>
      </c>
      <c r="P3" s="4" t="inlineStr">
        <is>
          <t>N</t>
        </is>
      </c>
      <c r="Q3" s="4" t="inlineStr">
        <is>
          <t>Product freshness guarantee messaging effective.</t>
        </is>
      </c>
    </row>
    <row r="4">
      <c r="A4" s="2" t="inlineStr">
        <is>
          <t>Jan</t>
        </is>
      </c>
      <c r="B4" s="2" t="inlineStr">
        <is>
          <t>Snack Box (Small)</t>
        </is>
      </c>
      <c r="C4" s="3" t="n">
        <v>3</v>
      </c>
      <c r="D4" s="3" t="n">
        <v>5172</v>
      </c>
      <c r="E4" s="3" t="n">
        <v>140</v>
      </c>
      <c r="F4" s="3">
        <f>ROUND(E4/D4*100,2)</f>
        <v/>
      </c>
      <c r="G4" s="3" t="n">
        <v>8</v>
      </c>
      <c r="H4" s="3">
        <f>387.80</f>
        <v/>
      </c>
      <c r="I4" s="3">
        <f>ROUND(H4/G4,2)</f>
        <v/>
      </c>
      <c r="J4" s="3">
        <f>ROUND(18.47,2)</f>
        <v/>
      </c>
      <c r="K4" s="3">
        <f>ROUND(4.926481780654091,1)</f>
        <v/>
      </c>
      <c r="L4" s="3">
        <f>ROUND(32.850454148315485,1)</f>
        <v/>
      </c>
      <c r="M4" s="2" t="inlineStr">
        <is>
          <t>Energy Bars</t>
        </is>
      </c>
      <c r="N4" s="2" t="inlineStr">
        <is>
          <t>Dried Fruit Blend</t>
        </is>
      </c>
      <c r="O4" s="2" t="inlineStr">
        <is>
          <t>N</t>
        </is>
      </c>
      <c r="P4" s="2" t="inlineStr">
        <is>
          <t>N</t>
        </is>
      </c>
      <c r="Q4" s="2" t="inlineStr">
        <is>
          <t>Storage concerns limiting family meal kit adoption.</t>
        </is>
      </c>
    </row>
    <row r="5">
      <c r="A5" s="4" t="inlineStr">
        <is>
          <t>Jan</t>
        </is>
      </c>
      <c r="B5" s="4" t="inlineStr">
        <is>
          <t>Snack Box (Large)</t>
        </is>
      </c>
      <c r="C5" s="5" t="n">
        <v>5</v>
      </c>
      <c r="D5" s="5" t="n">
        <v>6743</v>
      </c>
      <c r="E5" s="5" t="n">
        <v>347</v>
      </c>
      <c r="F5" s="5">
        <f>ROUND(E5/D5*100,2)</f>
        <v/>
      </c>
      <c r="G5" s="5" t="n">
        <v>26</v>
      </c>
      <c r="H5" s="5">
        <f>1613.61</f>
        <v/>
      </c>
      <c r="I5" s="5">
        <f>ROUND(H5/G5,2)</f>
        <v/>
      </c>
      <c r="J5" s="5">
        <f>ROUND(31.00,2)</f>
        <v/>
      </c>
      <c r="K5" s="5">
        <f>ROUND(1.1493367233250762,1)</f>
        <v/>
      </c>
      <c r="L5" s="5">
        <f>ROUND(21.881442759690188,1)</f>
        <v/>
      </c>
      <c r="M5" s="4" t="inlineStr">
        <is>
          <t>Protein Snack Box</t>
        </is>
      </c>
      <c r="N5" s="4" t="inlineStr">
        <is>
          <t>Vegan Bundle</t>
        </is>
      </c>
      <c r="O5" s="4" t="inlineStr">
        <is>
          <t>N</t>
        </is>
      </c>
      <c r="P5" s="4" t="inlineStr">
        <is>
          <t>Y</t>
        </is>
      </c>
      <c r="Q5" s="4" t="inlineStr">
        <is>
          <t>Snack box cannibalization with meal kits noted; adjusted positioning.</t>
        </is>
      </c>
    </row>
    <row r="6">
      <c r="A6" s="2" t="inlineStr">
        <is>
          <t>Jan</t>
        </is>
      </c>
      <c r="B6" s="2" t="inlineStr">
        <is>
          <t>Pantry Staples Bundle</t>
        </is>
      </c>
      <c r="C6" s="3" t="n">
        <v>8</v>
      </c>
      <c r="D6" s="3" t="n">
        <v>3937</v>
      </c>
      <c r="E6" s="3" t="n">
        <v>137</v>
      </c>
      <c r="F6" s="3">
        <f>ROUND(E6/D6*100,2)</f>
        <v/>
      </c>
      <c r="G6" s="3" t="n">
        <v>10</v>
      </c>
      <c r="H6" s="3">
        <f>420.41</f>
        <v/>
      </c>
      <c r="I6" s="3">
        <f>ROUND(H6/G6,2)</f>
        <v/>
      </c>
      <c r="J6" s="3">
        <f>ROUND(20.46,2)</f>
        <v/>
      </c>
      <c r="K6" s="3">
        <f>ROUND(7.492189076761396,1)</f>
        <v/>
      </c>
      <c r="L6" s="3">
        <f>ROUND(15.383280554054448,1)</f>
        <v/>
      </c>
      <c r="M6" s="2" t="inlineStr">
        <is>
          <t>Baking Essentials</t>
        </is>
      </c>
      <c r="N6" s="2" t="inlineStr">
        <is>
          <t>Grains &amp; Pasta</t>
        </is>
      </c>
      <c r="O6" s="2" t="inlineStr">
        <is>
          <t>N</t>
        </is>
      </c>
      <c r="P6" s="2" t="inlineStr">
        <is>
          <t>Y</t>
        </is>
      </c>
      <c r="Q6" s="2" t="inlineStr">
        <is>
          <t>Competitor bundle pricing pressure; maintained margin through volume.</t>
        </is>
      </c>
    </row>
    <row r="7">
      <c r="A7" s="4" t="inlineStr">
        <is>
          <t>Jan</t>
        </is>
      </c>
      <c r="B7" s="4" t="inlineStr">
        <is>
          <t>Seasonal Special Box</t>
        </is>
      </c>
      <c r="C7" s="5" t="n">
        <v>8</v>
      </c>
      <c r="D7" s="5" t="n">
        <v>7194</v>
      </c>
      <c r="E7" s="5" t="n">
        <v>281</v>
      </c>
      <c r="F7" s="5">
        <f>ROUND(E7/D7*100,2)</f>
        <v/>
      </c>
      <c r="G7" s="5" t="n">
        <v>15</v>
      </c>
      <c r="H7" s="5">
        <f>891.01</f>
        <v/>
      </c>
      <c r="I7" s="5">
        <f>ROUND(H7/G7,2)</f>
        <v/>
      </c>
      <c r="J7" s="5">
        <f>ROUND(21.14,2)</f>
        <v/>
      </c>
      <c r="K7" s="5">
        <f>ROUND(2.0457782819032153,1)</f>
        <v/>
      </c>
      <c r="L7" s="5">
        <f>ROUND(33.38704325270912,1)</f>
        <v/>
      </c>
      <c r="M7" s="4" t="inlineStr">
        <is>
          <t>Winter Holiday Mix</t>
        </is>
      </c>
      <c r="N7" s="4" t="inlineStr">
        <is>
          <t>Spring Garden Fresh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Product freshness guarantee messaging effective.</t>
        </is>
      </c>
    </row>
    <row r="8">
      <c r="A8" s="2" t="inlineStr">
        <is>
          <t>Feb</t>
        </is>
      </c>
      <c r="B8" s="2" t="inlineStr">
        <is>
          <t>Weekly Meal Kit (Standard)</t>
        </is>
      </c>
      <c r="C8" s="3" t="n">
        <v>7</v>
      </c>
      <c r="D8" s="3" t="n">
        <v>5222</v>
      </c>
      <c r="E8" s="3" t="n">
        <v>147</v>
      </c>
      <c r="F8" s="3">
        <f>ROUND(E8/D8*100,2)</f>
        <v/>
      </c>
      <c r="G8" s="3" t="n">
        <v>12</v>
      </c>
      <c r="H8" s="3">
        <f>503.20</f>
        <v/>
      </c>
      <c r="I8" s="3">
        <f>ROUND(H8/G8,2)</f>
        <v/>
      </c>
      <c r="J8" s="3">
        <f>ROUND(22.82,2)</f>
        <v/>
      </c>
      <c r="K8" s="3">
        <f>ROUND(6.572703779262746,1)</f>
        <v/>
      </c>
      <c r="L8" s="3">
        <f>ROUND(14.232580953820456,1)</f>
        <v/>
      </c>
      <c r="M8" s="2" t="inlineStr">
        <is>
          <t>Vegetarian Delight</t>
        </is>
      </c>
      <c r="N8" s="2" t="inlineStr">
        <is>
          <t>Organic Pasta Kit</t>
        </is>
      </c>
      <c r="O8" s="2" t="inlineStr">
        <is>
          <t>N</t>
        </is>
      </c>
      <c r="P8" s="2" t="inlineStr">
        <is>
          <t>N</t>
        </is>
      </c>
      <c r="Q8" s="2" t="inlineStr">
        <is>
          <t>Storage concerns limiting family meal kit adoption.</t>
        </is>
      </c>
    </row>
    <row r="9">
      <c r="A9" s="4" t="inlineStr">
        <is>
          <t>Feb</t>
        </is>
      </c>
      <c r="B9" s="4" t="inlineStr">
        <is>
          <t>Weekly Meal Kit (Family)</t>
        </is>
      </c>
      <c r="C9" s="5" t="n">
        <v>6</v>
      </c>
      <c r="D9" s="5" t="n">
        <v>6441</v>
      </c>
      <c r="E9" s="5" t="n">
        <v>244</v>
      </c>
      <c r="F9" s="5">
        <f>ROUND(E9/D9*100,2)</f>
        <v/>
      </c>
      <c r="G9" s="5" t="n">
        <v>33</v>
      </c>
      <c r="H9" s="5">
        <f>1525.32</f>
        <v/>
      </c>
      <c r="I9" s="5">
        <f>ROUND(H9/G9,2)</f>
        <v/>
      </c>
      <c r="J9" s="5">
        <f>ROUND(41.68,2)</f>
        <v/>
      </c>
      <c r="K9" s="5">
        <f>ROUND(1.8389369573624246,1)</f>
        <v/>
      </c>
      <c r="L9" s="5">
        <f>ROUND(23.547972554510185,1)</f>
        <v/>
      </c>
      <c r="M9" s="4" t="inlineStr">
        <is>
          <t>Family Rainbow Veggies</t>
        </is>
      </c>
      <c r="N9" s="4" t="inlineStr">
        <is>
          <t>Family Italian</t>
        </is>
      </c>
      <c r="O9" s="4" t="inlineStr">
        <is>
          <t>N</t>
        </is>
      </c>
      <c r="P9" s="4" t="inlineStr">
        <is>
          <t>N</t>
        </is>
      </c>
      <c r="Q9" s="4" t="inlineStr">
        <is>
          <t>Subscription bundling offer increased adoption by 18%.</t>
        </is>
      </c>
    </row>
    <row r="10">
      <c r="A10" s="2" t="inlineStr">
        <is>
          <t>Feb</t>
        </is>
      </c>
      <c r="B10" s="2" t="inlineStr">
        <is>
          <t>Snack Box (Small)</t>
        </is>
      </c>
      <c r="C10" s="3" t="n">
        <v>4</v>
      </c>
      <c r="D10" s="3" t="n">
        <v>2124</v>
      </c>
      <c r="E10" s="3" t="n">
        <v>96</v>
      </c>
      <c r="F10" s="3">
        <f>ROUND(E10/D10*100,2)</f>
        <v/>
      </c>
      <c r="G10" s="3" t="n">
        <v>11</v>
      </c>
      <c r="H10" s="3">
        <f>696.64</f>
        <v/>
      </c>
      <c r="I10" s="3">
        <f>ROUND(H10/G10,2)</f>
        <v/>
      </c>
      <c r="J10" s="3">
        <f>ROUND(48.38,2)</f>
        <v/>
      </c>
      <c r="K10" s="3">
        <f>ROUND(5.315111160474147,1)</f>
        <v/>
      </c>
      <c r="L10" s="3">
        <f>ROUND(22.180684391144585,1)</f>
        <v/>
      </c>
      <c r="M10" s="2" t="inlineStr">
        <is>
          <t>Organic Chips</t>
        </is>
      </c>
      <c r="N10" s="2" t="inlineStr">
        <is>
          <t>Organic Chips</t>
        </is>
      </c>
      <c r="O10" s="2" t="inlineStr">
        <is>
          <t>N</t>
        </is>
      </c>
      <c r="P10" s="2" t="inlineStr">
        <is>
          <t>N</t>
        </is>
      </c>
      <c r="Q10" s="2" t="inlineStr">
        <is>
          <t>Promotional discount increased AOV by 12%.</t>
        </is>
      </c>
    </row>
    <row r="11">
      <c r="A11" s="4" t="inlineStr">
        <is>
          <t>Feb</t>
        </is>
      </c>
      <c r="B11" s="4" t="inlineStr">
        <is>
          <t>Snack Box (Large)</t>
        </is>
      </c>
      <c r="C11" s="5" t="n">
        <v>5</v>
      </c>
      <c r="D11" s="5" t="n">
        <v>2148</v>
      </c>
      <c r="E11" s="5" t="n">
        <v>126</v>
      </c>
      <c r="F11" s="5">
        <f>ROUND(E11/D11*100,2)</f>
        <v/>
      </c>
      <c r="G11" s="5" t="n">
        <v>15</v>
      </c>
      <c r="H11" s="5">
        <f>762.79</f>
        <v/>
      </c>
      <c r="I11" s="5">
        <f>ROUND(H11/G11,2)</f>
        <v/>
      </c>
      <c r="J11" s="5">
        <f>ROUND(40.36,2)</f>
        <v/>
      </c>
      <c r="K11" s="5">
        <f>ROUND(4.752671125056271,1)</f>
        <v/>
      </c>
      <c r="L11" s="5">
        <f>ROUND(22.536867865720538,1)</f>
        <v/>
      </c>
      <c r="M11" s="4" t="inlineStr">
        <is>
          <t>Mixed Organic</t>
        </is>
      </c>
      <c r="N11" s="4" t="inlineStr">
        <is>
          <t>Deluxe Mix Large</t>
        </is>
      </c>
      <c r="O11" s="4" t="inlineStr">
        <is>
          <t>N</t>
        </is>
      </c>
      <c r="P11" s="4" t="inlineStr">
        <is>
          <t>N</t>
        </is>
      </c>
      <c r="Q11" s="4" t="inlineStr">
        <is>
          <t>Storage concerns limiting family meal kit adoption.</t>
        </is>
      </c>
    </row>
    <row r="12">
      <c r="A12" s="2" t="inlineStr">
        <is>
          <t>Feb</t>
        </is>
      </c>
      <c r="B12" s="2" t="inlineStr">
        <is>
          <t>Pantry Staples Bundle</t>
        </is>
      </c>
      <c r="C12" s="3" t="n">
        <v>7</v>
      </c>
      <c r="D12" s="3" t="n">
        <v>4450</v>
      </c>
      <c r="E12" s="3" t="n">
        <v>258</v>
      </c>
      <c r="F12" s="3">
        <f>ROUND(E12/D12*100,2)</f>
        <v/>
      </c>
      <c r="G12" s="3" t="n">
        <v>15</v>
      </c>
      <c r="H12" s="3">
        <f>959.62</f>
        <v/>
      </c>
      <c r="I12" s="3">
        <f>ROUND(H12/G12,2)</f>
        <v/>
      </c>
      <c r="J12" s="3">
        <f>ROUND(24.80,2)</f>
        <v/>
      </c>
      <c r="K12" s="3">
        <f>ROUND(6.214083766826081,1)</f>
        <v/>
      </c>
      <c r="L12" s="3">
        <f>ROUND(33.729531070561265,1)</f>
        <v/>
      </c>
      <c r="M12" s="2" t="inlineStr">
        <is>
          <t>Spices Bundle</t>
        </is>
      </c>
      <c r="N12" s="2" t="inlineStr">
        <is>
          <t>Spices Bundle</t>
        </is>
      </c>
      <c r="O12" s="2" t="inlineStr">
        <is>
          <t>N</t>
        </is>
      </c>
      <c r="P12" s="2" t="inlineStr">
        <is>
          <t>N</t>
        </is>
      </c>
      <c r="Q12" s="2" t="inlineStr">
        <is>
          <t>Sustainability messaging resonates with target persona.</t>
        </is>
      </c>
    </row>
    <row r="13">
      <c r="A13" s="4" t="inlineStr">
        <is>
          <t>Feb</t>
        </is>
      </c>
      <c r="B13" s="4" t="inlineStr">
        <is>
          <t>Seasonal Special Box</t>
        </is>
      </c>
      <c r="C13" s="5" t="n">
        <v>3</v>
      </c>
      <c r="D13" s="5" t="n">
        <v>3405</v>
      </c>
      <c r="E13" s="5" t="n">
        <v>97</v>
      </c>
      <c r="F13" s="5">
        <f>ROUND(E13/D13*100,2)</f>
        <v/>
      </c>
      <c r="G13" s="5" t="n">
        <v>6</v>
      </c>
      <c r="H13" s="5">
        <f>324.10</f>
        <v/>
      </c>
      <c r="I13" s="5">
        <f>ROUND(H13/G13,2)</f>
        <v/>
      </c>
      <c r="J13" s="5">
        <f>ROUND(22.28,2)</f>
        <v/>
      </c>
      <c r="K13" s="5">
        <f>ROUND(7.945379947223967,1)</f>
        <v/>
      </c>
      <c r="L13" s="5">
        <f>ROUND(7.467692630142225,1)</f>
        <v/>
      </c>
      <c r="M13" s="4" t="inlineStr">
        <is>
          <t>Spring Garden Fresh</t>
        </is>
      </c>
      <c r="N13" s="4" t="inlineStr">
        <is>
          <t>Winter Holiday Mix</t>
        </is>
      </c>
      <c r="O13" s="4" t="inlineStr">
        <is>
          <t>N</t>
        </is>
      </c>
      <c r="P13" s="4" t="inlineStr">
        <is>
          <t>N</t>
        </is>
      </c>
      <c r="Q13" s="4" t="inlineStr">
        <is>
          <t>Storage concerns limiting family meal kit adoption.</t>
        </is>
      </c>
    </row>
    <row r="14">
      <c r="A14" s="2" t="inlineStr">
        <is>
          <t>Mar</t>
        </is>
      </c>
      <c r="B14" s="2" t="inlineStr">
        <is>
          <t>Weekly Meal Kit (Standard)</t>
        </is>
      </c>
      <c r="C14" s="3" t="n">
        <v>8</v>
      </c>
      <c r="D14" s="3" t="n">
        <v>3604</v>
      </c>
      <c r="E14" s="3" t="n">
        <v>192</v>
      </c>
      <c r="F14" s="3">
        <f>ROUND(E14/D14*100,2)</f>
        <v/>
      </c>
      <c r="G14" s="3" t="n">
        <v>12</v>
      </c>
      <c r="H14" s="3">
        <f>822.23</f>
        <v/>
      </c>
      <c r="I14" s="3">
        <f>ROUND(H14/G14,2)</f>
        <v/>
      </c>
      <c r="J14" s="3">
        <f>ROUND(28.55,2)</f>
        <v/>
      </c>
      <c r="K14" s="3">
        <f>ROUND(7.438507525908748,1)</f>
        <v/>
      </c>
      <c r="L14" s="3">
        <f>ROUND(9.87911901487071,1)</f>
        <v/>
      </c>
      <c r="M14" s="2" t="inlineStr">
        <is>
          <t>Protein Power</t>
        </is>
      </c>
      <c r="N14" s="2" t="inlineStr">
        <is>
          <t>Protein Power</t>
        </is>
      </c>
      <c r="O14" s="2" t="inlineStr">
        <is>
          <t>N</t>
        </is>
      </c>
      <c r="P14" s="2" t="inlineStr">
        <is>
          <t>Y</t>
        </is>
      </c>
      <c r="Q14" s="2" t="inlineStr">
        <is>
          <t>Snack box cannibalization with meal kits noted; adjusted positioning.</t>
        </is>
      </c>
    </row>
    <row r="15">
      <c r="A15" s="4" t="inlineStr">
        <is>
          <t>Mar</t>
        </is>
      </c>
      <c r="B15" s="4" t="inlineStr">
        <is>
          <t>Weekly Meal Kit (Family)</t>
        </is>
      </c>
      <c r="C15" s="5" t="n">
        <v>4</v>
      </c>
      <c r="D15" s="5" t="n">
        <v>2872</v>
      </c>
      <c r="E15" s="5" t="n">
        <v>102</v>
      </c>
      <c r="F15" s="5">
        <f>ROUND(E15/D15*100,2)</f>
        <v/>
      </c>
      <c r="G15" s="5" t="n">
        <v>10</v>
      </c>
      <c r="H15" s="5">
        <f>655.78</f>
        <v/>
      </c>
      <c r="I15" s="5">
        <f>ROUND(H15/G15,2)</f>
        <v/>
      </c>
      <c r="J15" s="5">
        <f>ROUND(42.86,2)</f>
        <v/>
      </c>
      <c r="K15" s="5">
        <f>ROUND(4.074568615703615,1)</f>
        <v/>
      </c>
      <c r="L15" s="5">
        <f>ROUND(12.755025667398481,1)</f>
        <v/>
      </c>
      <c r="M15" s="4" t="inlineStr">
        <is>
          <t>Family Italian</t>
        </is>
      </c>
      <c r="N15" s="4" t="inlineStr">
        <is>
          <t>Family BBQ</t>
        </is>
      </c>
      <c r="O15" s="4" t="inlineStr">
        <is>
          <t>N</t>
        </is>
      </c>
      <c r="P15" s="4" t="inlineStr">
        <is>
          <t>Y</t>
        </is>
      </c>
      <c r="Q15" s="4" t="inlineStr">
        <is>
          <t>Sustainability messaging resonates with target persona.</t>
        </is>
      </c>
    </row>
    <row r="16">
      <c r="A16" s="2" t="inlineStr">
        <is>
          <t>Mar</t>
        </is>
      </c>
      <c r="B16" s="2" t="inlineStr">
        <is>
          <t>Snack Box (Small)</t>
        </is>
      </c>
      <c r="C16" s="3" t="n">
        <v>3</v>
      </c>
      <c r="D16" s="3" t="n">
        <v>7614</v>
      </c>
      <c r="E16" s="3" t="n">
        <v>269</v>
      </c>
      <c r="F16" s="3">
        <f>ROUND(E16/D16*100,2)</f>
        <v/>
      </c>
      <c r="G16" s="3" t="n">
        <v>39</v>
      </c>
      <c r="H16" s="3">
        <f>1385.82</f>
        <v/>
      </c>
      <c r="I16" s="3">
        <f>ROUND(H16/G16,2)</f>
        <v/>
      </c>
      <c r="J16" s="3">
        <f>ROUND(34.34,2)</f>
        <v/>
      </c>
      <c r="K16" s="3">
        <f>ROUND(3.2042665525851537,1)</f>
        <v/>
      </c>
      <c r="L16" s="3">
        <f>ROUND(17.280871389423474,1)</f>
        <v/>
      </c>
      <c r="M16" s="2" t="inlineStr">
        <is>
          <t>Energy Bars</t>
        </is>
      </c>
      <c r="N16" s="2" t="inlineStr">
        <is>
          <t>Organic Chips</t>
        </is>
      </c>
      <c r="O16" s="2" t="inlineStr">
        <is>
          <t>N</t>
        </is>
      </c>
      <c r="P16" s="2" t="inlineStr">
        <is>
          <t>Y</t>
        </is>
      </c>
      <c r="Q16" s="2" t="inlineStr">
        <is>
          <t>Sustainability messaging resonates with target persona.</t>
        </is>
      </c>
    </row>
    <row r="17">
      <c r="A17" s="4" t="inlineStr">
        <is>
          <t>Mar</t>
        </is>
      </c>
      <c r="B17" s="4" t="inlineStr">
        <is>
          <t>Snack Box (Large)</t>
        </is>
      </c>
      <c r="C17" s="5" t="n">
        <v>4</v>
      </c>
      <c r="D17" s="5" t="n">
        <v>7976</v>
      </c>
      <c r="E17" s="5" t="n">
        <v>303</v>
      </c>
      <c r="F17" s="5">
        <f>ROUND(E17/D17*100,2)</f>
        <v/>
      </c>
      <c r="G17" s="5" t="n">
        <v>29</v>
      </c>
      <c r="H17" s="5">
        <f>1869.27</f>
        <v/>
      </c>
      <c r="I17" s="5">
        <f>ROUND(H17/G17,2)</f>
        <v/>
      </c>
      <c r="J17" s="5">
        <f>ROUND(41.13,2)</f>
        <v/>
      </c>
      <c r="K17" s="5">
        <f>ROUND(4.99702042225872,1)</f>
        <v/>
      </c>
      <c r="L17" s="5">
        <f>ROUND(13.94204179609554,1)</f>
        <v/>
      </c>
      <c r="M17" s="4" t="inlineStr">
        <is>
          <t>Vegan Bundle</t>
        </is>
      </c>
      <c r="N17" s="4" t="inlineStr">
        <is>
          <t>Deluxe Mix Large</t>
        </is>
      </c>
      <c r="O17" s="4" t="inlineStr">
        <is>
          <t>N</t>
        </is>
      </c>
      <c r="P17" s="4" t="inlineStr">
        <is>
          <t>N</t>
        </is>
      </c>
      <c r="Q17" s="4" t="inlineStr">
        <is>
          <t>Flash sale drove 35% lift in snack box orders that week.</t>
        </is>
      </c>
    </row>
    <row r="18">
      <c r="A18" s="2" t="inlineStr">
        <is>
          <t>Mar</t>
        </is>
      </c>
      <c r="B18" s="2" t="inlineStr">
        <is>
          <t>Pantry Staples Bundle</t>
        </is>
      </c>
      <c r="C18" s="3" t="n">
        <v>3</v>
      </c>
      <c r="D18" s="3" t="n">
        <v>7893</v>
      </c>
      <c r="E18" s="3" t="n">
        <v>455</v>
      </c>
      <c r="F18" s="3">
        <f>ROUND(E18/D18*100,2)</f>
        <v/>
      </c>
      <c r="G18" s="3" t="n">
        <v>48</v>
      </c>
      <c r="H18" s="3">
        <f>3263.31</f>
        <v/>
      </c>
      <c r="I18" s="3">
        <f>ROUND(H18/G18,2)</f>
        <v/>
      </c>
      <c r="J18" s="3">
        <f>ROUND(47.81,2)</f>
        <v/>
      </c>
      <c r="K18" s="3">
        <f>ROUND(7.5129949663795275,1)</f>
        <v/>
      </c>
      <c r="L18" s="3">
        <f>ROUND(28.976419009088414,1)</f>
        <v/>
      </c>
      <c r="M18" s="2" t="inlineStr">
        <is>
          <t>Oils &amp; Vinegar</t>
        </is>
      </c>
      <c r="N18" s="2" t="inlineStr">
        <is>
          <t>Oils &amp; Vinegar</t>
        </is>
      </c>
      <c r="O18" s="2" t="inlineStr">
        <is>
          <t>N</t>
        </is>
      </c>
      <c r="P18" s="2" t="inlineStr">
        <is>
          <t>Y</t>
        </is>
      </c>
      <c r="Q18" s="2" t="inlineStr">
        <is>
          <t>Subscription bundling offer increased adoption by 18%.</t>
        </is>
      </c>
    </row>
    <row r="19">
      <c r="A19" s="4" t="inlineStr">
        <is>
          <t>Mar</t>
        </is>
      </c>
      <c r="B19" s="4" t="inlineStr">
        <is>
          <t>Seasonal Special Box</t>
        </is>
      </c>
      <c r="C19" s="5" t="n">
        <v>4</v>
      </c>
      <c r="D19" s="5" t="n">
        <v>3584</v>
      </c>
      <c r="E19" s="5" t="n">
        <v>174</v>
      </c>
      <c r="F19" s="5">
        <f>ROUND(E19/D19*100,2)</f>
        <v/>
      </c>
      <c r="G19" s="5" t="n">
        <v>16</v>
      </c>
      <c r="H19" s="5">
        <f>1065.12</f>
        <v/>
      </c>
      <c r="I19" s="5">
        <f>ROUND(H19/G19,2)</f>
        <v/>
      </c>
      <c r="J19" s="5">
        <f>ROUND(40.81,2)</f>
        <v/>
      </c>
      <c r="K19" s="5">
        <f>ROUND(2.1301093962219415,1)</f>
        <v/>
      </c>
      <c r="L19" s="5">
        <f>ROUND(30.370637153460798,1)</f>
        <v/>
      </c>
      <c r="M19" s="4" t="inlineStr">
        <is>
          <t>Fall Harvest</t>
        </is>
      </c>
      <c r="N19" s="4" t="inlineStr">
        <is>
          <t>Winter Holiday Mix</t>
        </is>
      </c>
      <c r="O19" s="4" t="inlineStr">
        <is>
          <t>N</t>
        </is>
      </c>
      <c r="P19" s="4" t="inlineStr">
        <is>
          <t>N</t>
        </is>
      </c>
      <c r="Q19" s="4" t="inlineStr">
        <is>
          <t>Regional inventory variation noted; optimization underway.</t>
        </is>
      </c>
    </row>
    <row r="20">
      <c r="A20" s="2" t="inlineStr">
        <is>
          <t>Apr</t>
        </is>
      </c>
      <c r="B20" s="2" t="inlineStr">
        <is>
          <t>Weekly Meal Kit (Standard)</t>
        </is>
      </c>
      <c r="C20" s="3" t="n">
        <v>3</v>
      </c>
      <c r="D20" s="3" t="n">
        <v>2299</v>
      </c>
      <c r="E20" s="3" t="n">
        <v>104</v>
      </c>
      <c r="F20" s="3">
        <f>ROUND(E20/D20*100,2)</f>
        <v/>
      </c>
      <c r="G20" s="3" t="n">
        <v>11</v>
      </c>
      <c r="H20" s="3">
        <f>694.88</f>
        <v/>
      </c>
      <c r="I20" s="3">
        <f>ROUND(H20/G20,2)</f>
        <v/>
      </c>
      <c r="J20" s="3">
        <f>ROUND(44.54,2)</f>
        <v/>
      </c>
      <c r="K20" s="3">
        <f>ROUND(6.705468540514874,1)</f>
        <v/>
      </c>
      <c r="L20" s="3">
        <f>ROUND(11.249341783181684,1)</f>
        <v/>
      </c>
      <c r="M20" s="2" t="inlineStr">
        <is>
          <t>Vegetarian Delight</t>
        </is>
      </c>
      <c r="N20" s="2" t="inlineStr">
        <is>
          <t>Protein Power</t>
        </is>
      </c>
      <c r="O20" s="2" t="inlineStr">
        <is>
          <t>N</t>
        </is>
      </c>
      <c r="P20" s="2" t="inlineStr">
        <is>
          <t>N</t>
        </is>
      </c>
      <c r="Q20" s="2" t="inlineStr">
        <is>
          <t>Organic certification badge improved trust signal; +8% CTR.</t>
        </is>
      </c>
    </row>
    <row r="21">
      <c r="A21" s="4" t="inlineStr">
        <is>
          <t>Apr</t>
        </is>
      </c>
      <c r="B21" s="4" t="inlineStr">
        <is>
          <t>Weekly Meal Kit (Family)</t>
        </is>
      </c>
      <c r="C21" s="5" t="n">
        <v>5</v>
      </c>
      <c r="D21" s="5" t="n">
        <v>6257</v>
      </c>
      <c r="E21" s="5" t="n">
        <v>143</v>
      </c>
      <c r="F21" s="5">
        <f>ROUND(E21/D21*100,2)</f>
        <v/>
      </c>
      <c r="G21" s="5" t="n">
        <v>12</v>
      </c>
      <c r="H21" s="5">
        <f>611.57</f>
        <v/>
      </c>
      <c r="I21" s="5">
        <f>ROUND(H21/G21,2)</f>
        <v/>
      </c>
      <c r="J21" s="5">
        <f>ROUND(28.51,2)</f>
        <v/>
      </c>
      <c r="K21" s="5">
        <f>ROUND(4.044070643185735,1)</f>
        <v/>
      </c>
      <c r="L21" s="5">
        <f>ROUND(26.68879287597499,1)</f>
        <v/>
      </c>
      <c r="M21" s="4" t="inlineStr">
        <is>
          <t>Family Rainbow Veggies</t>
        </is>
      </c>
      <c r="N21" s="4" t="inlineStr">
        <is>
          <t>Family Asian Fusion</t>
        </is>
      </c>
      <c r="O21" s="4" t="inlineStr">
        <is>
          <t>N</t>
        </is>
      </c>
      <c r="P21" s="4" t="inlineStr">
        <is>
          <t>N</t>
        </is>
      </c>
      <c r="Q21" s="4" t="inlineStr">
        <is>
          <t>Flash sale drove 35% lift in snack box orders that week.</t>
        </is>
      </c>
    </row>
    <row r="22">
      <c r="A22" s="2" t="inlineStr">
        <is>
          <t>Apr</t>
        </is>
      </c>
      <c r="B22" s="2" t="inlineStr">
        <is>
          <t>Snack Box (Small)</t>
        </is>
      </c>
      <c r="C22" s="3" t="n">
        <v>6</v>
      </c>
      <c r="D22" s="3" t="n">
        <v>2559</v>
      </c>
      <c r="E22" s="3" t="n">
        <v>94</v>
      </c>
      <c r="F22" s="3">
        <f>ROUND(E22/D22*100,2)</f>
        <v/>
      </c>
      <c r="G22" s="3" t="n">
        <v>11</v>
      </c>
      <c r="H22" s="3">
        <f>606.61</f>
        <v/>
      </c>
      <c r="I22" s="3">
        <f>ROUND(H22/G22,2)</f>
        <v/>
      </c>
      <c r="J22" s="3">
        <f>ROUND(43.02,2)</f>
        <v/>
      </c>
      <c r="K22" s="3">
        <f>ROUND(2.2646830027942446,1)</f>
        <v/>
      </c>
      <c r="L22" s="3">
        <f>ROUND(11.04859686101955,1)</f>
        <v/>
      </c>
      <c r="M22" s="2" t="inlineStr">
        <is>
          <t>Energy Bars</t>
        </is>
      </c>
      <c r="N22" s="2" t="inlineStr">
        <is>
          <t>Dried Fruit Blend</t>
        </is>
      </c>
      <c r="O22" s="2" t="inlineStr">
        <is>
          <t>N</t>
        </is>
      </c>
      <c r="P22" s="2" t="inlineStr">
        <is>
          <t>N</t>
        </is>
      </c>
      <c r="Q22" s="2" t="inlineStr">
        <is>
          <t>Seasonal box experiencing supply chain delays.</t>
        </is>
      </c>
    </row>
    <row r="23">
      <c r="A23" s="4" t="inlineStr">
        <is>
          <t>Apr</t>
        </is>
      </c>
      <c r="B23" s="4" t="inlineStr">
        <is>
          <t>Snack Box (Large)</t>
        </is>
      </c>
      <c r="C23" s="5" t="n">
        <v>6</v>
      </c>
      <c r="D23" s="5" t="n">
        <v>4686</v>
      </c>
      <c r="E23" s="5" t="n">
        <v>253</v>
      </c>
      <c r="F23" s="5">
        <f>ROUND(E23/D23*100,2)</f>
        <v/>
      </c>
      <c r="G23" s="5" t="n">
        <v>13</v>
      </c>
      <c r="H23" s="5">
        <f>769.34</f>
        <v/>
      </c>
      <c r="I23" s="5">
        <f>ROUND(H23/G23,2)</f>
        <v/>
      </c>
      <c r="J23" s="5">
        <f>ROUND(20.27,2)</f>
        <v/>
      </c>
      <c r="K23" s="5">
        <f>ROUND(1.284233010447373,1)</f>
        <v/>
      </c>
      <c r="L23" s="5">
        <f>ROUND(18.2219640857049,1)</f>
        <v/>
      </c>
      <c r="M23" s="4" t="inlineStr">
        <is>
          <t>Protein Snack Box</t>
        </is>
      </c>
      <c r="N23" s="4" t="inlineStr">
        <is>
          <t>Deluxe Mix Large</t>
        </is>
      </c>
      <c r="O23" s="4" t="inlineStr">
        <is>
          <t>N</t>
        </is>
      </c>
      <c r="P23" s="4" t="inlineStr">
        <is>
          <t>N</t>
        </is>
      </c>
      <c r="Q23" s="4" t="inlineStr">
        <is>
          <t>New SKU variant (vegan protein) trending; plan expansion.</t>
        </is>
      </c>
    </row>
    <row r="24">
      <c r="A24" s="2" t="inlineStr">
        <is>
          <t>Apr</t>
        </is>
      </c>
      <c r="B24" s="2" t="inlineStr">
        <is>
          <t>Pantry Staples Bundle</t>
        </is>
      </c>
      <c r="C24" s="3" t="n">
        <v>4</v>
      </c>
      <c r="D24" s="3" t="n">
        <v>3235</v>
      </c>
      <c r="E24" s="3" t="n">
        <v>173</v>
      </c>
      <c r="F24" s="3">
        <f>ROUND(E24/D24*100,2)</f>
        <v/>
      </c>
      <c r="G24" s="3" t="n">
        <v>20</v>
      </c>
      <c r="H24" s="3">
        <f>1016.02</f>
        <v/>
      </c>
      <c r="I24" s="3">
        <f>ROUND(H24/G24,2)</f>
        <v/>
      </c>
      <c r="J24" s="3">
        <f>ROUND(39.15,2)</f>
        <v/>
      </c>
      <c r="K24" s="3">
        <f>ROUND(6.288411286690371,1)</f>
        <v/>
      </c>
      <c r="L24" s="3">
        <f>ROUND(6.11866195161835,1)</f>
        <v/>
      </c>
      <c r="M24" s="2" t="inlineStr">
        <is>
          <t>Baking Essentials</t>
        </is>
      </c>
      <c r="N24" s="2" t="inlineStr">
        <is>
          <t>Grains &amp; Pasta</t>
        </is>
      </c>
      <c r="O24" s="2" t="inlineStr">
        <is>
          <t>N</t>
        </is>
      </c>
      <c r="P24" s="2" t="inlineStr">
        <is>
          <t>N</t>
        </is>
      </c>
      <c r="Q24" s="2" t="inlineStr">
        <is>
          <t>Gift box variant successfully launched; 22% of seasonal orders.</t>
        </is>
      </c>
    </row>
    <row r="25">
      <c r="A25" s="4" t="inlineStr">
        <is>
          <t>Apr</t>
        </is>
      </c>
      <c r="B25" s="4" t="inlineStr">
        <is>
          <t>Seasonal Special Box</t>
        </is>
      </c>
      <c r="C25" s="5" t="n">
        <v>5</v>
      </c>
      <c r="D25" s="5" t="n">
        <v>3691</v>
      </c>
      <c r="E25" s="5" t="n">
        <v>174</v>
      </c>
      <c r="F25" s="5">
        <f>ROUND(E25/D25*100,2)</f>
        <v/>
      </c>
      <c r="G25" s="5" t="n">
        <v>19</v>
      </c>
      <c r="H25" s="5">
        <f>878.45</f>
        <v/>
      </c>
      <c r="I25" s="5">
        <f>ROUND(H25/G25,2)</f>
        <v/>
      </c>
      <c r="J25" s="5">
        <f>ROUND(33.66,2)</f>
        <v/>
      </c>
      <c r="K25" s="5">
        <f>ROUND(6.293875335804527,1)</f>
        <v/>
      </c>
      <c r="L25" s="5">
        <f>ROUND(8.929194790794591,1)</f>
        <v/>
      </c>
      <c r="M25" s="4" t="inlineStr">
        <is>
          <t>Winter Holiday Mix</t>
        </is>
      </c>
      <c r="N25" s="4" t="inlineStr">
        <is>
          <t>Summer BBQ Pack</t>
        </is>
      </c>
      <c r="O25" s="4" t="inlineStr">
        <is>
          <t>Y</t>
        </is>
      </c>
      <c r="P25" s="4" t="inlineStr">
        <is>
          <t>Y</t>
        </is>
      </c>
      <c r="Q25" s="4" t="inlineStr">
        <is>
          <t>Seasonal box experiencing supply chain delays.</t>
        </is>
      </c>
    </row>
    <row r="26">
      <c r="A26" s="2" t="inlineStr">
        <is>
          <t>May</t>
        </is>
      </c>
      <c r="B26" s="2" t="inlineStr">
        <is>
          <t>Weekly Meal Kit (Standard)</t>
        </is>
      </c>
      <c r="C26" s="3" t="n">
        <v>8</v>
      </c>
      <c r="D26" s="3" t="n">
        <v>5380</v>
      </c>
      <c r="E26" s="3" t="n">
        <v>154</v>
      </c>
      <c r="F26" s="3">
        <f>ROUND(E26/D26*100,2)</f>
        <v/>
      </c>
      <c r="G26" s="3" t="n">
        <v>10</v>
      </c>
      <c r="H26" s="3">
        <f>713.35</f>
        <v/>
      </c>
      <c r="I26" s="3">
        <f>ROUND(H26/G26,2)</f>
        <v/>
      </c>
      <c r="J26" s="3">
        <f>ROUND(30.88,2)</f>
        <v/>
      </c>
      <c r="K26" s="3">
        <f>ROUND(3.729088701050493,1)</f>
        <v/>
      </c>
      <c r="L26" s="3">
        <f>ROUND(5.617715304171424,1)</f>
        <v/>
      </c>
      <c r="M26" s="2" t="inlineStr">
        <is>
          <t>Mediterranean Box</t>
        </is>
      </c>
      <c r="N26" s="2" t="inlineStr">
        <is>
          <t>Protein Power</t>
        </is>
      </c>
      <c r="O26" s="2" t="inlineStr">
        <is>
          <t>N</t>
        </is>
      </c>
      <c r="P26" s="2" t="inlineStr">
        <is>
          <t>Y</t>
        </is>
      </c>
      <c r="Q26" s="2" t="inlineStr">
        <is>
          <t>Gift box variant successfully launched; 22% of seasonal orders.</t>
        </is>
      </c>
    </row>
    <row r="27">
      <c r="A27" s="4" t="inlineStr">
        <is>
          <t>May</t>
        </is>
      </c>
      <c r="B27" s="4" t="inlineStr">
        <is>
          <t>Weekly Meal Kit (Family)</t>
        </is>
      </c>
      <c r="C27" s="5" t="n">
        <v>6</v>
      </c>
      <c r="D27" s="5" t="n">
        <v>4909</v>
      </c>
      <c r="E27" s="5" t="n">
        <v>169</v>
      </c>
      <c r="F27" s="5">
        <f>ROUND(E27/D27*100,2)</f>
        <v/>
      </c>
      <c r="G27" s="5" t="n">
        <v>10</v>
      </c>
      <c r="H27" s="5">
        <f>517.28</f>
        <v/>
      </c>
      <c r="I27" s="5">
        <f>ROUND(H27/G27,2)</f>
        <v/>
      </c>
      <c r="J27" s="5">
        <f>ROUND(20.41,2)</f>
        <v/>
      </c>
      <c r="K27" s="5">
        <f>ROUND(1.27606165021512,1)</f>
        <v/>
      </c>
      <c r="L27" s="5">
        <f>ROUND(11.61942734334217,1)</f>
        <v/>
      </c>
      <c r="M27" s="4" t="inlineStr">
        <is>
          <t>Family BBQ</t>
        </is>
      </c>
      <c r="N27" s="4" t="inlineStr">
        <is>
          <t>Family BBQ</t>
        </is>
      </c>
      <c r="O27" s="4" t="inlineStr">
        <is>
          <t>N</t>
        </is>
      </c>
      <c r="P27" s="4" t="inlineStr">
        <is>
          <t>N</t>
        </is>
      </c>
      <c r="Q27" s="4" t="inlineStr">
        <is>
          <t>Return rate elevated due to packaging damage in transit.</t>
        </is>
      </c>
    </row>
    <row r="28">
      <c r="A28" s="2" t="inlineStr">
        <is>
          <t>May</t>
        </is>
      </c>
      <c r="B28" s="2" t="inlineStr">
        <is>
          <t>Snack Box (Small)</t>
        </is>
      </c>
      <c r="C28" s="3" t="n">
        <v>8</v>
      </c>
      <c r="D28" s="3" t="n">
        <v>3128</v>
      </c>
      <c r="E28" s="3" t="n">
        <v>167</v>
      </c>
      <c r="F28" s="3">
        <f>ROUND(E28/D28*100,2)</f>
        <v/>
      </c>
      <c r="G28" s="3" t="n">
        <v>22</v>
      </c>
      <c r="H28" s="3">
        <f>823.32</f>
        <v/>
      </c>
      <c r="I28" s="3">
        <f>ROUND(H28/G28,2)</f>
        <v/>
      </c>
      <c r="J28" s="3">
        <f>ROUND(32.87,2)</f>
        <v/>
      </c>
      <c r="K28" s="3">
        <f>ROUND(1.0394526864779898,1)</f>
        <v/>
      </c>
      <c r="L28" s="3">
        <f>ROUND(32.206952314453574,1)</f>
        <v/>
      </c>
      <c r="M28" s="2" t="inlineStr">
        <is>
          <t>Nuts &amp; Seeds Mix</t>
        </is>
      </c>
      <c r="N28" s="2" t="inlineStr">
        <is>
          <t>Organic Chips</t>
        </is>
      </c>
      <c r="O28" s="2" t="inlineStr">
        <is>
          <t>N</t>
        </is>
      </c>
      <c r="P28" s="2" t="inlineStr">
        <is>
          <t>N</t>
        </is>
      </c>
      <c r="Q28" s="2" t="inlineStr">
        <is>
          <t>Pantry bundle performing above forecast.</t>
        </is>
      </c>
    </row>
    <row r="29">
      <c r="A29" s="4" t="inlineStr">
        <is>
          <t>May</t>
        </is>
      </c>
      <c r="B29" s="4" t="inlineStr">
        <is>
          <t>Snack Box (Large)</t>
        </is>
      </c>
      <c r="C29" s="5" t="n">
        <v>7</v>
      </c>
      <c r="D29" s="5" t="n">
        <v>4574</v>
      </c>
      <c r="E29" s="5" t="n">
        <v>209</v>
      </c>
      <c r="F29" s="5">
        <f>ROUND(E29/D29*100,2)</f>
        <v/>
      </c>
      <c r="G29" s="5" t="n">
        <v>28</v>
      </c>
      <c r="H29" s="5">
        <f>1372.90</f>
        <v/>
      </c>
      <c r="I29" s="5">
        <f>ROUND(H29/G29,2)</f>
        <v/>
      </c>
      <c r="J29" s="5">
        <f>ROUND(43.79,2)</f>
        <v/>
      </c>
      <c r="K29" s="5">
        <f>ROUND(4.599536621922005,1)</f>
        <v/>
      </c>
      <c r="L29" s="5">
        <f>ROUND(22.41255592447851,1)</f>
        <v/>
      </c>
      <c r="M29" s="4" t="inlineStr">
        <is>
          <t>Deluxe Mix Large</t>
        </is>
      </c>
      <c r="N29" s="4" t="inlineStr">
        <is>
          <t>Mixed Organic</t>
        </is>
      </c>
      <c r="O29" s="4" t="inlineStr">
        <is>
          <t>N</t>
        </is>
      </c>
      <c r="P29" s="4" t="inlineStr">
        <is>
          <t>Y</t>
        </is>
      </c>
      <c r="Q29" s="4" t="inlineStr">
        <is>
          <t>Pantry bundle performing above forecast.</t>
        </is>
      </c>
    </row>
    <row r="30">
      <c r="A30" s="2" t="inlineStr">
        <is>
          <t>May</t>
        </is>
      </c>
      <c r="B30" s="2" t="inlineStr">
        <is>
          <t>Pantry Staples Bundle</t>
        </is>
      </c>
      <c r="C30" s="3" t="n">
        <v>7</v>
      </c>
      <c r="D30" s="3" t="n">
        <v>3535</v>
      </c>
      <c r="E30" s="3" t="n">
        <v>91</v>
      </c>
      <c r="F30" s="3">
        <f>ROUND(E30/D30*100,2)</f>
        <v/>
      </c>
      <c r="G30" s="3" t="n">
        <v>8</v>
      </c>
      <c r="H30" s="3">
        <f>410.16</f>
        <v/>
      </c>
      <c r="I30" s="3">
        <f>ROUND(H30/G30,2)</f>
        <v/>
      </c>
      <c r="J30" s="3">
        <f>ROUND(30.05,2)</f>
        <v/>
      </c>
      <c r="K30" s="3">
        <f>ROUND(4.661023017516316,1)</f>
        <v/>
      </c>
      <c r="L30" s="3">
        <f>ROUND(27.951334330631102,1)</f>
        <v/>
      </c>
      <c r="M30" s="2" t="inlineStr">
        <is>
          <t>Baking Essentials</t>
        </is>
      </c>
      <c r="N30" s="2" t="inlineStr">
        <is>
          <t>Oils &amp; Vinegar</t>
        </is>
      </c>
      <c r="O30" s="2" t="inlineStr">
        <is>
          <t>N</t>
        </is>
      </c>
      <c r="P30" s="2" t="inlineStr">
        <is>
          <t>N</t>
        </is>
      </c>
      <c r="Q30" s="2" t="inlineStr">
        <is>
          <t>Organic certification badge improved trust signal; +8% CTR.</t>
        </is>
      </c>
    </row>
    <row r="31">
      <c r="A31" s="4" t="inlineStr">
        <is>
          <t>May</t>
        </is>
      </c>
      <c r="B31" s="4" t="inlineStr">
        <is>
          <t>Seasonal Special Box</t>
        </is>
      </c>
      <c r="C31" s="5" t="n">
        <v>3</v>
      </c>
      <c r="D31" s="5" t="n">
        <v>4066</v>
      </c>
      <c r="E31" s="5" t="n">
        <v>239</v>
      </c>
      <c r="F31" s="5">
        <f>ROUND(E31/D31*100,2)</f>
        <v/>
      </c>
      <c r="G31" s="5" t="n">
        <v>26</v>
      </c>
      <c r="H31" s="5">
        <f>1684.42</f>
        <v/>
      </c>
      <c r="I31" s="5">
        <f>ROUND(H31/G31,2)</f>
        <v/>
      </c>
      <c r="J31" s="5">
        <f>ROUND(46.99,2)</f>
        <v/>
      </c>
      <c r="K31" s="5">
        <f>ROUND(7.96385418156578,1)</f>
        <v/>
      </c>
      <c r="L31" s="5">
        <f>ROUND(8.173298966181267,1)</f>
        <v/>
      </c>
      <c r="M31" s="4" t="inlineStr">
        <is>
          <t>Winter Holiday Mix</t>
        </is>
      </c>
      <c r="N31" s="4" t="inlineStr">
        <is>
          <t>Spring Garden Fresh</t>
        </is>
      </c>
      <c r="O31" s="4" t="inlineStr">
        <is>
          <t>N</t>
        </is>
      </c>
      <c r="P31" s="4" t="inlineStr">
        <is>
          <t>N</t>
        </is>
      </c>
      <c r="Q31" s="4" t="inlineStr">
        <is>
          <t>Product quality feedback positive across all categories.</t>
        </is>
      </c>
    </row>
    <row r="32">
      <c r="A32" s="2" t="inlineStr">
        <is>
          <t>Jun</t>
        </is>
      </c>
      <c r="B32" s="2" t="inlineStr">
        <is>
          <t>Weekly Meal Kit (Standard)</t>
        </is>
      </c>
      <c r="C32" s="3" t="n">
        <v>7</v>
      </c>
      <c r="D32" s="3" t="n">
        <v>5933</v>
      </c>
      <c r="E32" s="3" t="n">
        <v>328</v>
      </c>
      <c r="F32" s="3">
        <f>ROUND(E32/D32*100,2)</f>
        <v/>
      </c>
      <c r="G32" s="3" t="n">
        <v>43</v>
      </c>
      <c r="H32" s="3">
        <f>1750.21</f>
        <v/>
      </c>
      <c r="I32" s="3">
        <f>ROUND(H32/G32,2)</f>
        <v/>
      </c>
      <c r="J32" s="3">
        <f>ROUND(35.57,2)</f>
        <v/>
      </c>
      <c r="K32" s="3">
        <f>ROUND(4.073794174255715,1)</f>
        <v/>
      </c>
      <c r="L32" s="3">
        <f>ROUND(20.05459563521117,1)</f>
        <v/>
      </c>
      <c r="M32" s="2" t="inlineStr">
        <is>
          <t>Vegetarian Delight</t>
        </is>
      </c>
      <c r="N32" s="2" t="inlineStr">
        <is>
          <t>Protein Power</t>
        </is>
      </c>
      <c r="O32" s="2" t="inlineStr">
        <is>
          <t>N</t>
        </is>
      </c>
      <c r="P32" s="2" t="inlineStr">
        <is>
          <t>Y</t>
        </is>
      </c>
      <c r="Q32" s="2" t="inlineStr">
        <is>
          <t>Strong demand for family sizes post-school holidays.</t>
        </is>
      </c>
    </row>
    <row r="33">
      <c r="A33" s="4" t="inlineStr">
        <is>
          <t>Jun</t>
        </is>
      </c>
      <c r="B33" s="4" t="inlineStr">
        <is>
          <t>Weekly Meal Kit (Family)</t>
        </is>
      </c>
      <c r="C33" s="5" t="n">
        <v>5</v>
      </c>
      <c r="D33" s="5" t="n">
        <v>7616</v>
      </c>
      <c r="E33" s="5" t="n">
        <v>286</v>
      </c>
      <c r="F33" s="5">
        <f>ROUND(E33/D33*100,2)</f>
        <v/>
      </c>
      <c r="G33" s="5" t="n">
        <v>28</v>
      </c>
      <c r="H33" s="5">
        <f>1630.57</f>
        <v/>
      </c>
      <c r="I33" s="5">
        <f>ROUND(H33/G33,2)</f>
        <v/>
      </c>
      <c r="J33" s="5">
        <f>ROUND(38.01,2)</f>
        <v/>
      </c>
      <c r="K33" s="5">
        <f>ROUND(3.8309382608076543,1)</f>
        <v/>
      </c>
      <c r="L33" s="5">
        <f>ROUND(24.936178926278743,1)</f>
        <v/>
      </c>
      <c r="M33" s="4" t="inlineStr">
        <is>
          <t>Family BBQ</t>
        </is>
      </c>
      <c r="N33" s="4" t="inlineStr">
        <is>
          <t>Family Asian Fusion</t>
        </is>
      </c>
      <c r="O33" s="4" t="inlineStr">
        <is>
          <t>N</t>
        </is>
      </c>
      <c r="P33" s="4" t="inlineStr">
        <is>
          <t>N</t>
        </is>
      </c>
      <c r="Q33" s="4" t="inlineStr">
        <is>
          <t>Strong demand for family sizes post-school holidays.</t>
        </is>
      </c>
    </row>
    <row r="34">
      <c r="A34" s="2" t="inlineStr">
        <is>
          <t>Jun</t>
        </is>
      </c>
      <c r="B34" s="2" t="inlineStr">
        <is>
          <t>Snack Box (Small)</t>
        </is>
      </c>
      <c r="C34" s="3" t="n">
        <v>3</v>
      </c>
      <c r="D34" s="3" t="n">
        <v>2703</v>
      </c>
      <c r="E34" s="3" t="n">
        <v>136</v>
      </c>
      <c r="F34" s="3">
        <f>ROUND(E34/D34*100,2)</f>
        <v/>
      </c>
      <c r="G34" s="3" t="n">
        <v>11</v>
      </c>
      <c r="H34" s="3">
        <f>782.56</f>
        <v/>
      </c>
      <c r="I34" s="3">
        <f>ROUND(H34/G34,2)</f>
        <v/>
      </c>
      <c r="J34" s="3">
        <f>ROUND(38.36,2)</f>
        <v/>
      </c>
      <c r="K34" s="3">
        <f>ROUND(1.7607253776368077,1)</f>
        <v/>
      </c>
      <c r="L34" s="3">
        <f>ROUND(26.570236242775987,1)</f>
        <v/>
      </c>
      <c r="M34" s="2" t="inlineStr">
        <is>
          <t>Dried Fruit Blend</t>
        </is>
      </c>
      <c r="N34" s="2" t="inlineStr">
        <is>
          <t>Organic Chips</t>
        </is>
      </c>
      <c r="O34" s="2" t="inlineStr">
        <is>
          <t>N</t>
        </is>
      </c>
      <c r="P34" s="2" t="inlineStr">
        <is>
          <t>N</t>
        </is>
      </c>
      <c r="Q34" s="2" t="inlineStr">
        <is>
          <t>Flash sale drove 35% lift in snack box orders that week.</t>
        </is>
      </c>
    </row>
    <row r="35">
      <c r="A35" s="4" t="inlineStr">
        <is>
          <t>Jun</t>
        </is>
      </c>
      <c r="B35" s="4" t="inlineStr">
        <is>
          <t>Snack Box (Large)</t>
        </is>
      </c>
      <c r="C35" s="5" t="n">
        <v>5</v>
      </c>
      <c r="D35" s="5" t="n">
        <v>2663</v>
      </c>
      <c r="E35" s="5" t="n">
        <v>63</v>
      </c>
      <c r="F35" s="5">
        <f>ROUND(E35/D35*100,2)</f>
        <v/>
      </c>
      <c r="G35" s="5" t="n">
        <v>4</v>
      </c>
      <c r="H35" s="5">
        <f>207.87</f>
        <v/>
      </c>
      <c r="I35" s="5">
        <f>ROUND(H35/G35,2)</f>
        <v/>
      </c>
      <c r="J35" s="5">
        <f>ROUND(22.00,2)</f>
        <v/>
      </c>
      <c r="K35" s="5">
        <f>ROUND(6.788811103051287,1)</f>
        <v/>
      </c>
      <c r="L35" s="5">
        <f>ROUND(25.174772118545004,1)</f>
        <v/>
      </c>
      <c r="M35" s="4" t="inlineStr">
        <is>
          <t>Protein Snack Box</t>
        </is>
      </c>
      <c r="N35" s="4" t="inlineStr">
        <is>
          <t>Deluxe Mix Large</t>
        </is>
      </c>
      <c r="O35" s="4" t="inlineStr">
        <is>
          <t>N</t>
        </is>
      </c>
      <c r="P35" s="4" t="inlineStr">
        <is>
          <t>N</t>
        </is>
      </c>
      <c r="Q35" s="4" t="inlineStr">
        <is>
          <t>Product quality feedback positive across all categories.</t>
        </is>
      </c>
    </row>
    <row r="36">
      <c r="A36" s="2" t="inlineStr">
        <is>
          <t>Jun</t>
        </is>
      </c>
      <c r="B36" s="2" t="inlineStr">
        <is>
          <t>Pantry Staples Bundle</t>
        </is>
      </c>
      <c r="C36" s="3" t="n">
        <v>3</v>
      </c>
      <c r="D36" s="3" t="n">
        <v>4143</v>
      </c>
      <c r="E36" s="3" t="n">
        <v>93</v>
      </c>
      <c r="F36" s="3">
        <f>ROUND(E36/D36*100,2)</f>
        <v/>
      </c>
      <c r="G36" s="3" t="n">
        <v>11</v>
      </c>
      <c r="H36" s="3">
        <f>650.87</f>
        <v/>
      </c>
      <c r="I36" s="3">
        <f>ROUND(H36/G36,2)</f>
        <v/>
      </c>
      <c r="J36" s="3">
        <f>ROUND(46.66,2)</f>
        <v/>
      </c>
      <c r="K36" s="3">
        <f>ROUND(1.184172875174614,1)</f>
        <v/>
      </c>
      <c r="L36" s="3">
        <f>ROUND(30.378339724850715,1)</f>
        <v/>
      </c>
      <c r="M36" s="2" t="inlineStr">
        <is>
          <t>Baking Essentials</t>
        </is>
      </c>
      <c r="N36" s="2" t="inlineStr">
        <is>
          <t>Spices Bundle</t>
        </is>
      </c>
      <c r="O36" s="2" t="inlineStr">
        <is>
          <t>N</t>
        </is>
      </c>
      <c r="P36" s="2" t="inlineStr">
        <is>
          <t>Y</t>
        </is>
      </c>
      <c r="Q36" s="2" t="inlineStr">
        <is>
          <t>Competitor bundle pricing pressure; maintained margin through volume.</t>
        </is>
      </c>
    </row>
    <row r="37">
      <c r="A37" s="4" t="inlineStr">
        <is>
          <t>Jun</t>
        </is>
      </c>
      <c r="B37" s="4" t="inlineStr">
        <is>
          <t>Seasonal Special Box</t>
        </is>
      </c>
      <c r="C37" s="5" t="n">
        <v>5</v>
      </c>
      <c r="D37" s="5" t="n">
        <v>2719</v>
      </c>
      <c r="E37" s="5" t="n">
        <v>59</v>
      </c>
      <c r="F37" s="5">
        <f>ROUND(E37/D37*100,2)</f>
        <v/>
      </c>
      <c r="G37" s="5" t="n">
        <v>7</v>
      </c>
      <c r="H37" s="5">
        <f>504.40</f>
        <v/>
      </c>
      <c r="I37" s="5">
        <f>ROUND(H37/G37,2)</f>
        <v/>
      </c>
      <c r="J37" s="5">
        <f>ROUND(56.99,2)</f>
        <v/>
      </c>
      <c r="K37" s="5">
        <f>ROUND(4.221531479974772,1)</f>
        <v/>
      </c>
      <c r="L37" s="5">
        <f>ROUND(5.21555066348054,1)</f>
        <v/>
      </c>
      <c r="M37" s="4" t="inlineStr">
        <is>
          <t>Fall Harvest</t>
        </is>
      </c>
      <c r="N37" s="4" t="inlineStr">
        <is>
          <t>Spring Garden Fresh</t>
        </is>
      </c>
      <c r="O37" s="4" t="inlineStr">
        <is>
          <t>N</t>
        </is>
      </c>
      <c r="P37" s="4" t="inlineStr">
        <is>
          <t>N</t>
        </is>
      </c>
      <c r="Q37" s="4" t="inlineStr">
        <is>
          <t>New allergen labeling improved conversion rate by 6%.</t>
        </is>
      </c>
    </row>
    <row r="38">
      <c r="A38" s="2" t="inlineStr">
        <is>
          <t>Jul</t>
        </is>
      </c>
      <c r="B38" s="2" t="inlineStr">
        <is>
          <t>Weekly Meal Kit (Standard)</t>
        </is>
      </c>
      <c r="C38" s="3" t="n">
        <v>7</v>
      </c>
      <c r="D38" s="3" t="n">
        <v>2597</v>
      </c>
      <c r="E38" s="3" t="n">
        <v>97</v>
      </c>
      <c r="F38" s="3">
        <f>ROUND(E38/D38*100,2)</f>
        <v/>
      </c>
      <c r="G38" s="3" t="n">
        <v>5</v>
      </c>
      <c r="H38" s="3">
        <f>346.29</f>
        <v/>
      </c>
      <c r="I38" s="3">
        <f>ROUND(H38/G38,2)</f>
        <v/>
      </c>
      <c r="J38" s="3">
        <f>ROUND(23.80,2)</f>
        <v/>
      </c>
      <c r="K38" s="3">
        <f>ROUND(4.6721052096136395,1)</f>
        <v/>
      </c>
      <c r="L38" s="3">
        <f>ROUND(22.658916817867304,1)</f>
        <v/>
      </c>
      <c r="M38" s="2" t="inlineStr">
        <is>
          <t>Mediterranean Box</t>
        </is>
      </c>
      <c r="N38" s="2" t="inlineStr">
        <is>
          <t>Protein Power</t>
        </is>
      </c>
      <c r="O38" s="2" t="inlineStr">
        <is>
          <t>N</t>
        </is>
      </c>
      <c r="P38" s="2" t="inlineStr">
        <is>
          <t>N</t>
        </is>
      </c>
      <c r="Q38" s="2" t="inlineStr">
        <is>
          <t>Subscription conversion rate improved for meal kits.</t>
        </is>
      </c>
    </row>
    <row r="39">
      <c r="A39" s="4" t="inlineStr">
        <is>
          <t>Jul</t>
        </is>
      </c>
      <c r="B39" s="4" t="inlineStr">
        <is>
          <t>Weekly Meal Kit (Family)</t>
        </is>
      </c>
      <c r="C39" s="5" t="n">
        <v>5</v>
      </c>
      <c r="D39" s="5" t="n">
        <v>2489</v>
      </c>
      <c r="E39" s="5" t="n">
        <v>135</v>
      </c>
      <c r="F39" s="5">
        <f>ROUND(E39/D39*100,2)</f>
        <v/>
      </c>
      <c r="G39" s="5" t="n">
        <v>7</v>
      </c>
      <c r="H39" s="5">
        <f>479.23</f>
        <v/>
      </c>
      <c r="I39" s="5">
        <f>ROUND(H39/G39,2)</f>
        <v/>
      </c>
      <c r="J39" s="5">
        <f>ROUND(23.67,2)</f>
        <v/>
      </c>
      <c r="K39" s="5">
        <f>ROUND(4.508012492332575,1)</f>
        <v/>
      </c>
      <c r="L39" s="5">
        <f>ROUND(25.816476224534604,1)</f>
        <v/>
      </c>
      <c r="M39" s="4" t="inlineStr">
        <is>
          <t>Family Asian Fusion</t>
        </is>
      </c>
      <c r="N39" s="4" t="inlineStr">
        <is>
          <t>Family BBQ</t>
        </is>
      </c>
      <c r="O39" s="4" t="inlineStr">
        <is>
          <t>N</t>
        </is>
      </c>
      <c r="P39" s="4" t="inlineStr">
        <is>
          <t>N</t>
        </is>
      </c>
      <c r="Q39" s="4" t="inlineStr">
        <is>
          <t>Pantry bundle performing above forecast.</t>
        </is>
      </c>
    </row>
    <row r="40">
      <c r="A40" s="2" t="inlineStr">
        <is>
          <t>Jul</t>
        </is>
      </c>
      <c r="B40" s="2" t="inlineStr">
        <is>
          <t>Snack Box (Small)</t>
        </is>
      </c>
      <c r="C40" s="3" t="n">
        <v>4</v>
      </c>
      <c r="D40" s="3" t="n">
        <v>2222</v>
      </c>
      <c r="E40" s="3" t="n">
        <v>128</v>
      </c>
      <c r="F40" s="3">
        <f>ROUND(E40/D40*100,2)</f>
        <v/>
      </c>
      <c r="G40" s="3" t="n">
        <v>9</v>
      </c>
      <c r="H40" s="3">
        <f>666.65</f>
        <v/>
      </c>
      <c r="I40" s="3">
        <f>ROUND(H40/G40,2)</f>
        <v/>
      </c>
      <c r="J40" s="3">
        <f>ROUND(34.72,2)</f>
        <v/>
      </c>
      <c r="K40" s="3">
        <f>ROUND(1.7992148317607595,1)</f>
        <v/>
      </c>
      <c r="L40" s="3">
        <f>ROUND(27.688966533830747,1)</f>
        <v/>
      </c>
      <c r="M40" s="2" t="inlineStr">
        <is>
          <t>Dried Fruit Blend</t>
        </is>
      </c>
      <c r="N40" s="2" t="inlineStr">
        <is>
          <t>Energy Bars</t>
        </is>
      </c>
      <c r="O40" s="2" t="inlineStr">
        <is>
          <t>N</t>
        </is>
      </c>
      <c r="P40" s="2" t="inlineStr">
        <is>
          <t>Y</t>
        </is>
      </c>
      <c r="Q40" s="2" t="inlineStr">
        <is>
          <t>Subscription bundling offer increased adoption by 18%.</t>
        </is>
      </c>
    </row>
    <row r="41">
      <c r="A41" s="4" t="inlineStr">
        <is>
          <t>Jul</t>
        </is>
      </c>
      <c r="B41" s="4" t="inlineStr">
        <is>
          <t>Snack Box (Large)</t>
        </is>
      </c>
      <c r="C41" s="5" t="n">
        <v>4</v>
      </c>
      <c r="D41" s="5" t="n">
        <v>3103</v>
      </c>
      <c r="E41" s="5" t="n">
        <v>117</v>
      </c>
      <c r="F41" s="5">
        <f>ROUND(E41/D41*100,2)</f>
        <v/>
      </c>
      <c r="G41" s="5" t="n">
        <v>13</v>
      </c>
      <c r="H41" s="5">
        <f>580.93</f>
        <v/>
      </c>
      <c r="I41" s="5">
        <f>ROUND(H41/G41,2)</f>
        <v/>
      </c>
      <c r="J41" s="5">
        <f>ROUND(33.10,2)</f>
        <v/>
      </c>
      <c r="K41" s="5">
        <f>ROUND(6.526852488756771,1)</f>
        <v/>
      </c>
      <c r="L41" s="5">
        <f>ROUND(6.426490893680567,1)</f>
        <v/>
      </c>
      <c r="M41" s="4" t="inlineStr">
        <is>
          <t>Protein Snack Box</t>
        </is>
      </c>
      <c r="N41" s="4" t="inlineStr">
        <is>
          <t>Mixed Organic</t>
        </is>
      </c>
      <c r="O41" s="4" t="inlineStr">
        <is>
          <t>N</t>
        </is>
      </c>
      <c r="P41" s="4" t="inlineStr">
        <is>
          <t>N</t>
        </is>
      </c>
      <c r="Q41" s="4" t="inlineStr">
        <is>
          <t>Subscription conversion rate improved for meal kits.</t>
        </is>
      </c>
    </row>
    <row r="42">
      <c r="A42" s="2" t="inlineStr">
        <is>
          <t>Jul</t>
        </is>
      </c>
      <c r="B42" s="2" t="inlineStr">
        <is>
          <t>Pantry Staples Bundle</t>
        </is>
      </c>
      <c r="C42" s="3" t="n">
        <v>8</v>
      </c>
      <c r="D42" s="3" t="n">
        <v>3211</v>
      </c>
      <c r="E42" s="3" t="n">
        <v>102</v>
      </c>
      <c r="F42" s="3">
        <f>ROUND(E42/D42*100,2)</f>
        <v/>
      </c>
      <c r="G42" s="3" t="n">
        <v>9</v>
      </c>
      <c r="H42" s="3">
        <f>320.53</f>
        <v/>
      </c>
      <c r="I42" s="3">
        <f>ROUND(H42/G42,2)</f>
        <v/>
      </c>
      <c r="J42" s="3">
        <f>ROUND(20.95,2)</f>
        <v/>
      </c>
      <c r="K42" s="3">
        <f>ROUND(1.3443861303827689,1)</f>
        <v/>
      </c>
      <c r="L42" s="3">
        <f>ROUND(22.238982706997376,1)</f>
        <v/>
      </c>
      <c r="M42" s="2" t="inlineStr">
        <is>
          <t>Grains &amp; Pasta</t>
        </is>
      </c>
      <c r="N42" s="2" t="inlineStr">
        <is>
          <t>Baking Essentials</t>
        </is>
      </c>
      <c r="O42" s="2" t="inlineStr">
        <is>
          <t>Y</t>
        </is>
      </c>
      <c r="P42" s="2" t="inlineStr">
        <is>
          <t>Y</t>
        </is>
      </c>
      <c r="Q42" s="2" t="inlineStr">
        <is>
          <t>Regional inventory variation noted; optimization underway.</t>
        </is>
      </c>
    </row>
    <row r="43">
      <c r="A43" s="4" t="inlineStr">
        <is>
          <t>Jul</t>
        </is>
      </c>
      <c r="B43" s="4" t="inlineStr">
        <is>
          <t>Seasonal Special Box</t>
        </is>
      </c>
      <c r="C43" s="5" t="n">
        <v>4</v>
      </c>
      <c r="D43" s="5" t="n">
        <v>2501</v>
      </c>
      <c r="E43" s="5" t="n">
        <v>93</v>
      </c>
      <c r="F43" s="5">
        <f>ROUND(E43/D43*100,2)</f>
        <v/>
      </c>
      <c r="G43" s="5" t="n">
        <v>12</v>
      </c>
      <c r="H43" s="5">
        <f>642.47</f>
        <v/>
      </c>
      <c r="I43" s="5">
        <f>ROUND(H43/G43,2)</f>
        <v/>
      </c>
      <c r="J43" s="5">
        <f>ROUND(46.06,2)</f>
        <v/>
      </c>
      <c r="K43" s="5">
        <f>ROUND(3.3385150915862107,1)</f>
        <v/>
      </c>
      <c r="L43" s="5">
        <f>ROUND(8.683928211175942,1)</f>
        <v/>
      </c>
      <c r="M43" s="4" t="inlineStr">
        <is>
          <t>Summer BBQ Pack</t>
        </is>
      </c>
      <c r="N43" s="4" t="inlineStr">
        <is>
          <t>Summer BBQ Pack</t>
        </is>
      </c>
      <c r="O43" s="4" t="inlineStr">
        <is>
          <t>N</t>
        </is>
      </c>
      <c r="P43" s="4" t="inlineStr">
        <is>
          <t>N</t>
        </is>
      </c>
      <c r="Q43" s="4" t="inlineStr">
        <is>
          <t>Organic certification badge improved trust signal; +8% CTR.</t>
        </is>
      </c>
    </row>
    <row r="44">
      <c r="A44" s="2" t="inlineStr">
        <is>
          <t>Aug</t>
        </is>
      </c>
      <c r="B44" s="2" t="inlineStr">
        <is>
          <t>Weekly Meal Kit (Standard)</t>
        </is>
      </c>
      <c r="C44" s="3" t="n">
        <v>7</v>
      </c>
      <c r="D44" s="3" t="n">
        <v>6794</v>
      </c>
      <c r="E44" s="3" t="n">
        <v>380</v>
      </c>
      <c r="F44" s="3">
        <f>ROUND(E44/D44*100,2)</f>
        <v/>
      </c>
      <c r="G44" s="3" t="n">
        <v>37</v>
      </c>
      <c r="H44" s="3">
        <f>1615.06</f>
        <v/>
      </c>
      <c r="I44" s="3">
        <f>ROUND(H44/G44,2)</f>
        <v/>
      </c>
      <c r="J44" s="3">
        <f>ROUND(28.33,2)</f>
        <v/>
      </c>
      <c r="K44" s="3">
        <f>ROUND(5.769166340081103,1)</f>
        <v/>
      </c>
      <c r="L44" s="3">
        <f>ROUND(21.65061407030955,1)</f>
        <v/>
      </c>
      <c r="M44" s="2" t="inlineStr">
        <is>
          <t>Organic Pasta Kit</t>
        </is>
      </c>
      <c r="N44" s="2" t="inlineStr">
        <is>
          <t>Vegetarian Delight</t>
        </is>
      </c>
      <c r="O44" s="2" t="inlineStr">
        <is>
          <t>N</t>
        </is>
      </c>
      <c r="P44" s="2" t="inlineStr">
        <is>
          <t>N</t>
        </is>
      </c>
      <c r="Q44" s="2" t="inlineStr">
        <is>
          <t>New allergen labeling improved conversion rate by 6%.</t>
        </is>
      </c>
    </row>
    <row r="45">
      <c r="A45" s="4" t="inlineStr">
        <is>
          <t>Aug</t>
        </is>
      </c>
      <c r="B45" s="4" t="inlineStr">
        <is>
          <t>Weekly Meal Kit (Family)</t>
        </is>
      </c>
      <c r="C45" s="5" t="n">
        <v>7</v>
      </c>
      <c r="D45" s="5" t="n">
        <v>3414</v>
      </c>
      <c r="E45" s="5" t="n">
        <v>115</v>
      </c>
      <c r="F45" s="5">
        <f>ROUND(E45/D45*100,2)</f>
        <v/>
      </c>
      <c r="G45" s="5" t="n">
        <v>10</v>
      </c>
      <c r="H45" s="5">
        <f>400.67</f>
        <v/>
      </c>
      <c r="I45" s="5">
        <f>ROUND(H45/G45,2)</f>
        <v/>
      </c>
      <c r="J45" s="5">
        <f>ROUND(23.23,2)</f>
        <v/>
      </c>
      <c r="K45" s="5">
        <f>ROUND(2.3093866021575566,1)</f>
        <v/>
      </c>
      <c r="L45" s="5">
        <f>ROUND(24.130703172917272,1)</f>
        <v/>
      </c>
      <c r="M45" s="4" t="inlineStr">
        <is>
          <t>Family BBQ</t>
        </is>
      </c>
      <c r="N45" s="4" t="inlineStr">
        <is>
          <t>Family Italian</t>
        </is>
      </c>
      <c r="O45" s="4" t="inlineStr">
        <is>
          <t>N</t>
        </is>
      </c>
      <c r="P45" s="4" t="inlineStr">
        <is>
          <t>Y</t>
        </is>
      </c>
      <c r="Q45" s="4" t="inlineStr">
        <is>
          <t>Stock-out of premium SKU for 8 days; recovered quickly.</t>
        </is>
      </c>
    </row>
    <row r="46">
      <c r="A46" s="2" t="inlineStr">
        <is>
          <t>Aug</t>
        </is>
      </c>
      <c r="B46" s="2" t="inlineStr">
        <is>
          <t>Snack Box (Small)</t>
        </is>
      </c>
      <c r="C46" s="3" t="n">
        <v>3</v>
      </c>
      <c r="D46" s="3" t="n">
        <v>3230</v>
      </c>
      <c r="E46" s="3" t="n">
        <v>139</v>
      </c>
      <c r="F46" s="3">
        <f>ROUND(E46/D46*100,2)</f>
        <v/>
      </c>
      <c r="G46" s="3" t="n">
        <v>12</v>
      </c>
      <c r="H46" s="3">
        <f>587.66</f>
        <v/>
      </c>
      <c r="I46" s="3">
        <f>ROUND(H46/G46,2)</f>
        <v/>
      </c>
      <c r="J46" s="3">
        <f>ROUND(28.19,2)</f>
        <v/>
      </c>
      <c r="K46" s="3">
        <f>ROUND(3.254582745157955,1)</f>
        <v/>
      </c>
      <c r="L46" s="3">
        <f>ROUND(34.739695047436996,1)</f>
        <v/>
      </c>
      <c r="M46" s="2" t="inlineStr">
        <is>
          <t>Dried Fruit Blend</t>
        </is>
      </c>
      <c r="N46" s="2" t="inlineStr">
        <is>
          <t>Dried Fruit Blend</t>
        </is>
      </c>
      <c r="O46" s="2" t="inlineStr">
        <is>
          <t>N</t>
        </is>
      </c>
      <c r="P46" s="2" t="inlineStr">
        <is>
          <t>Y</t>
        </is>
      </c>
      <c r="Q46" s="2" t="inlineStr">
        <is>
          <t>Gift box variant successfully launched; 22% of seasonal orders.</t>
        </is>
      </c>
    </row>
    <row r="47">
      <c r="A47" s="4" t="inlineStr">
        <is>
          <t>Aug</t>
        </is>
      </c>
      <c r="B47" s="4" t="inlineStr">
        <is>
          <t>Snack Box (Large)</t>
        </is>
      </c>
      <c r="C47" s="5" t="n">
        <v>6</v>
      </c>
      <c r="D47" s="5" t="n">
        <v>5298</v>
      </c>
      <c r="E47" s="5" t="n">
        <v>128</v>
      </c>
      <c r="F47" s="5">
        <f>ROUND(E47/D47*100,2)</f>
        <v/>
      </c>
      <c r="G47" s="5" t="n">
        <v>18</v>
      </c>
      <c r="H47" s="5">
        <f>1162.86</f>
        <v/>
      </c>
      <c r="I47" s="5">
        <f>ROUND(H47/G47,2)</f>
        <v/>
      </c>
      <c r="J47" s="5">
        <f>ROUND(60.57,2)</f>
        <v/>
      </c>
      <c r="K47" s="5">
        <f>ROUND(5.829548372133292,1)</f>
        <v/>
      </c>
      <c r="L47" s="5">
        <f>ROUND(18.462193328848677,1)</f>
        <v/>
      </c>
      <c r="M47" s="4" t="inlineStr">
        <is>
          <t>Mixed Organic</t>
        </is>
      </c>
      <c r="N47" s="4" t="inlineStr">
        <is>
          <t>Mixed Organic</t>
        </is>
      </c>
      <c r="O47" s="4" t="inlineStr">
        <is>
          <t>N</t>
        </is>
      </c>
      <c r="P47" s="4" t="inlineStr">
        <is>
          <t>N</t>
        </is>
      </c>
      <c r="Q47" s="4" t="inlineStr">
        <is>
          <t>Competitor bundle pricing pressure; maintained margin through volume.</t>
        </is>
      </c>
    </row>
    <row r="48">
      <c r="A48" s="2" t="inlineStr">
        <is>
          <t>Aug</t>
        </is>
      </c>
      <c r="B48" s="2" t="inlineStr">
        <is>
          <t>Pantry Staples Bundle</t>
        </is>
      </c>
      <c r="C48" s="3" t="n">
        <v>3</v>
      </c>
      <c r="D48" s="3" t="n">
        <v>4992</v>
      </c>
      <c r="E48" s="3" t="n">
        <v>191</v>
      </c>
      <c r="F48" s="3">
        <f>ROUND(E48/D48*100,2)</f>
        <v/>
      </c>
      <c r="G48" s="3" t="n">
        <v>14</v>
      </c>
      <c r="H48" s="3">
        <f>643.66</f>
        <v/>
      </c>
      <c r="I48" s="3">
        <f>ROUND(H48/G48,2)</f>
        <v/>
      </c>
      <c r="J48" s="3">
        <f>ROUND(22.47,2)</f>
        <v/>
      </c>
      <c r="K48" s="3">
        <f>ROUND(2.6110267890541925,1)</f>
        <v/>
      </c>
      <c r="L48" s="3">
        <f>ROUND(6.7542954500367856,1)</f>
        <v/>
      </c>
      <c r="M48" s="2" t="inlineStr">
        <is>
          <t>Spices Bundle</t>
        </is>
      </c>
      <c r="N48" s="2" t="inlineStr">
        <is>
          <t>Grains &amp; Pasta</t>
        </is>
      </c>
      <c r="O48" s="2" t="inlineStr">
        <is>
          <t>N</t>
        </is>
      </c>
      <c r="P48" s="2" t="inlineStr">
        <is>
          <t>N</t>
        </is>
      </c>
      <c r="Q48" s="2" t="inlineStr">
        <is>
          <t>Sustainability messaging resonates with target persona.</t>
        </is>
      </c>
    </row>
    <row r="49">
      <c r="A49" s="4" t="inlineStr">
        <is>
          <t>Aug</t>
        </is>
      </c>
      <c r="B49" s="4" t="inlineStr">
        <is>
          <t>Seasonal Special Box</t>
        </is>
      </c>
      <c r="C49" s="5" t="n">
        <v>7</v>
      </c>
      <c r="D49" s="5" t="n">
        <v>7745</v>
      </c>
      <c r="E49" s="5" t="n">
        <v>172</v>
      </c>
      <c r="F49" s="5">
        <f>ROUND(E49/D49*100,2)</f>
        <v/>
      </c>
      <c r="G49" s="5" t="n">
        <v>8</v>
      </c>
      <c r="H49" s="5">
        <f>298.48</f>
        <v/>
      </c>
      <c r="I49" s="5">
        <f>ROUND(H49/G49,2)</f>
        <v/>
      </c>
      <c r="J49" s="5">
        <f>ROUND(11.57,2)</f>
        <v/>
      </c>
      <c r="K49" s="5">
        <f>ROUND(4.620443546199009,1)</f>
        <v/>
      </c>
      <c r="L49" s="5">
        <f>ROUND(11.971973294122776,1)</f>
        <v/>
      </c>
      <c r="M49" s="4" t="inlineStr">
        <is>
          <t>Summer BBQ Pack</t>
        </is>
      </c>
      <c r="N49" s="4" t="inlineStr">
        <is>
          <t>Winter Holiday Mix</t>
        </is>
      </c>
      <c r="O49" s="4" t="inlineStr">
        <is>
          <t>N</t>
        </is>
      </c>
      <c r="P49" s="4" t="inlineStr">
        <is>
          <t>N</t>
        </is>
      </c>
      <c r="Q49" s="4" t="inlineStr">
        <is>
          <t>Gift box variant successfully launched; 22% of seasonal orders.</t>
        </is>
      </c>
    </row>
    <row r="50">
      <c r="A50" s="2" t="inlineStr">
        <is>
          <t>Sep</t>
        </is>
      </c>
      <c r="B50" s="2" t="inlineStr">
        <is>
          <t>Weekly Meal Kit (Standard)</t>
        </is>
      </c>
      <c r="C50" s="3" t="n">
        <v>5</v>
      </c>
      <c r="D50" s="3" t="n">
        <v>7035</v>
      </c>
      <c r="E50" s="3" t="n">
        <v>188</v>
      </c>
      <c r="F50" s="3">
        <f>ROUND(E50/D50*100,2)</f>
        <v/>
      </c>
      <c r="G50" s="3" t="n">
        <v>21</v>
      </c>
      <c r="H50" s="3">
        <f>770.82</f>
        <v/>
      </c>
      <c r="I50" s="3">
        <f>ROUND(H50/G50,2)</f>
        <v/>
      </c>
      <c r="J50" s="3">
        <f>ROUND(27.33,2)</f>
        <v/>
      </c>
      <c r="K50" s="3">
        <f>ROUND(2.291347232827559,1)</f>
        <v/>
      </c>
      <c r="L50" s="3">
        <f>ROUND(26.47617964062461,1)</f>
        <v/>
      </c>
      <c r="M50" s="2" t="inlineStr">
        <is>
          <t>Vegetarian Delight</t>
        </is>
      </c>
      <c r="N50" s="2" t="inlineStr">
        <is>
          <t>Vegetarian Delight</t>
        </is>
      </c>
      <c r="O50" s="2" t="inlineStr">
        <is>
          <t>N</t>
        </is>
      </c>
      <c r="P50" s="2" t="inlineStr">
        <is>
          <t>N</t>
        </is>
      </c>
      <c r="Q50" s="2" t="inlineStr">
        <is>
          <t>Storage concerns limiting family meal kit adoption.</t>
        </is>
      </c>
    </row>
    <row r="51">
      <c r="A51" s="4" t="inlineStr">
        <is>
          <t>Sep</t>
        </is>
      </c>
      <c r="B51" s="4" t="inlineStr">
        <is>
          <t>Weekly Meal Kit (Family)</t>
        </is>
      </c>
      <c r="C51" s="5" t="n">
        <v>4</v>
      </c>
      <c r="D51" s="5" t="n">
        <v>6771</v>
      </c>
      <c r="E51" s="5" t="n">
        <v>173</v>
      </c>
      <c r="F51" s="5">
        <f>ROUND(E51/D51*100,2)</f>
        <v/>
      </c>
      <c r="G51" s="5" t="n">
        <v>20</v>
      </c>
      <c r="H51" s="5">
        <f>1447.55</f>
        <v/>
      </c>
      <c r="I51" s="5">
        <f>ROUND(H51/G51,2)</f>
        <v/>
      </c>
      <c r="J51" s="5">
        <f>ROUND(55.78,2)</f>
        <v/>
      </c>
      <c r="K51" s="5">
        <f>ROUND(2.0504304972324805,1)</f>
        <v/>
      </c>
      <c r="L51" s="5">
        <f>ROUND(20.109134622797193,1)</f>
        <v/>
      </c>
      <c r="M51" s="4" t="inlineStr">
        <is>
          <t>Family Rainbow Veggies</t>
        </is>
      </c>
      <c r="N51" s="4" t="inlineStr">
        <is>
          <t>Family BBQ</t>
        </is>
      </c>
      <c r="O51" s="4" t="inlineStr">
        <is>
          <t>N</t>
        </is>
      </c>
      <c r="P51" s="4" t="inlineStr">
        <is>
          <t>Y</t>
        </is>
      </c>
      <c r="Q51" s="4" t="inlineStr">
        <is>
          <t>Sustainability messaging resonates with target persona.</t>
        </is>
      </c>
    </row>
    <row r="52">
      <c r="A52" s="2" t="inlineStr">
        <is>
          <t>Sep</t>
        </is>
      </c>
      <c r="B52" s="2" t="inlineStr">
        <is>
          <t>Snack Box (Small)</t>
        </is>
      </c>
      <c r="C52" s="3" t="n">
        <v>7</v>
      </c>
      <c r="D52" s="3" t="n">
        <v>3270</v>
      </c>
      <c r="E52" s="3" t="n">
        <v>162</v>
      </c>
      <c r="F52" s="3">
        <f>ROUND(E52/D52*100,2)</f>
        <v/>
      </c>
      <c r="G52" s="3" t="n">
        <v>19</v>
      </c>
      <c r="H52" s="3">
        <f>914.81</f>
        <v/>
      </c>
      <c r="I52" s="3">
        <f>ROUND(H52/G52,2)</f>
        <v/>
      </c>
      <c r="J52" s="3">
        <f>ROUND(37.65,2)</f>
        <v/>
      </c>
      <c r="K52" s="3">
        <f>ROUND(6.52774752187319,1)</f>
        <v/>
      </c>
      <c r="L52" s="3">
        <f>ROUND(21.125223638883657,1)</f>
        <v/>
      </c>
      <c r="M52" s="2" t="inlineStr">
        <is>
          <t>Nuts &amp; Seeds Mix</t>
        </is>
      </c>
      <c r="N52" s="2" t="inlineStr">
        <is>
          <t>Nuts &amp; Seeds Mix</t>
        </is>
      </c>
      <c r="O52" s="2" t="inlineStr">
        <is>
          <t>Y</t>
        </is>
      </c>
      <c r="P52" s="2" t="inlineStr">
        <is>
          <t>N</t>
        </is>
      </c>
      <c r="Q52" s="2" t="inlineStr">
        <is>
          <t>Strong demand for family sizes post-school holidays.</t>
        </is>
      </c>
    </row>
    <row r="53">
      <c r="A53" s="4" t="inlineStr">
        <is>
          <t>Sep</t>
        </is>
      </c>
      <c r="B53" s="4" t="inlineStr">
        <is>
          <t>Snack Box (Large)</t>
        </is>
      </c>
      <c r="C53" s="5" t="n">
        <v>5</v>
      </c>
      <c r="D53" s="5" t="n">
        <v>4563</v>
      </c>
      <c r="E53" s="5" t="n">
        <v>143</v>
      </c>
      <c r="F53" s="5">
        <f>ROUND(E53/D53*100,2)</f>
        <v/>
      </c>
      <c r="G53" s="5" t="n">
        <v>8</v>
      </c>
      <c r="H53" s="5">
        <f>453.70</f>
        <v/>
      </c>
      <c r="I53" s="5">
        <f>ROUND(H53/G53,2)</f>
        <v/>
      </c>
      <c r="J53" s="5">
        <f>ROUND(21.15,2)</f>
        <v/>
      </c>
      <c r="K53" s="5">
        <f>ROUND(6.726321089994161,1)</f>
        <v/>
      </c>
      <c r="L53" s="5">
        <f>ROUND(21.09702170496679,1)</f>
        <v/>
      </c>
      <c r="M53" s="4" t="inlineStr">
        <is>
          <t>Protein Snack Box</t>
        </is>
      </c>
      <c r="N53" s="4" t="inlineStr">
        <is>
          <t>Vegan Bundle</t>
        </is>
      </c>
      <c r="O53" s="4" t="inlineStr">
        <is>
          <t>Y</t>
        </is>
      </c>
      <c r="P53" s="4" t="inlineStr">
        <is>
          <t>N</t>
        </is>
      </c>
      <c r="Q53" s="4" t="inlineStr">
        <is>
          <t>Subscription conversion rate improved for meal kits.</t>
        </is>
      </c>
    </row>
    <row r="54">
      <c r="A54" s="2" t="inlineStr">
        <is>
          <t>Sep</t>
        </is>
      </c>
      <c r="B54" s="2" t="inlineStr">
        <is>
          <t>Pantry Staples Bundle</t>
        </is>
      </c>
      <c r="C54" s="3" t="n">
        <v>4</v>
      </c>
      <c r="D54" s="3" t="n">
        <v>3650</v>
      </c>
      <c r="E54" s="3" t="n">
        <v>159</v>
      </c>
      <c r="F54" s="3">
        <f>ROUND(E54/D54*100,2)</f>
        <v/>
      </c>
      <c r="G54" s="3" t="n">
        <v>15</v>
      </c>
      <c r="H54" s="3">
        <f>897.45</f>
        <v/>
      </c>
      <c r="I54" s="3">
        <f>ROUND(H54/G54,2)</f>
        <v/>
      </c>
      <c r="J54" s="3">
        <f>ROUND(37.63,2)</f>
        <v/>
      </c>
      <c r="K54" s="3">
        <f>ROUND(4.818644080856767,1)</f>
        <v/>
      </c>
      <c r="L54" s="3">
        <f>ROUND(16.605648022086164,1)</f>
        <v/>
      </c>
      <c r="M54" s="2" t="inlineStr">
        <is>
          <t>Grains &amp; Pasta</t>
        </is>
      </c>
      <c r="N54" s="2" t="inlineStr">
        <is>
          <t>Baking Essentials</t>
        </is>
      </c>
      <c r="O54" s="2" t="inlineStr">
        <is>
          <t>N</t>
        </is>
      </c>
      <c r="P54" s="2" t="inlineStr">
        <is>
          <t>N</t>
        </is>
      </c>
      <c r="Q54" s="2" t="inlineStr">
        <is>
          <t>Subscription conversion rate improved for meal kits.</t>
        </is>
      </c>
    </row>
    <row r="55">
      <c r="A55" s="4" t="inlineStr">
        <is>
          <t>Sep</t>
        </is>
      </c>
      <c r="B55" s="4" t="inlineStr">
        <is>
          <t>Seasonal Special Box</t>
        </is>
      </c>
      <c r="C55" s="5" t="n">
        <v>7</v>
      </c>
      <c r="D55" s="5" t="n">
        <v>7785</v>
      </c>
      <c r="E55" s="5" t="n">
        <v>446</v>
      </c>
      <c r="F55" s="5">
        <f>ROUND(E55/D55*100,2)</f>
        <v/>
      </c>
      <c r="G55" s="5" t="n">
        <v>32</v>
      </c>
      <c r="H55" s="5">
        <f>2388.10</f>
        <v/>
      </c>
      <c r="I55" s="5">
        <f>ROUND(H55/G55,2)</f>
        <v/>
      </c>
      <c r="J55" s="5">
        <f>ROUND(35.70,2)</f>
        <v/>
      </c>
      <c r="K55" s="5">
        <f>ROUND(6.364810033119317,1)</f>
        <v/>
      </c>
      <c r="L55" s="5">
        <f>ROUND(30.645056403952495,1)</f>
        <v/>
      </c>
      <c r="M55" s="4" t="inlineStr">
        <is>
          <t>Summer BBQ Pack</t>
        </is>
      </c>
      <c r="N55" s="4" t="inlineStr">
        <is>
          <t>Summer BBQ Pack</t>
        </is>
      </c>
      <c r="O55" s="4" t="inlineStr">
        <is>
          <t>N</t>
        </is>
      </c>
      <c r="P55" s="4" t="inlineStr">
        <is>
          <t>Y</t>
        </is>
      </c>
      <c r="Q55" s="4" t="inlineStr">
        <is>
          <t>Organic certification badge improved trust signal; +8% CTR.</t>
        </is>
      </c>
    </row>
    <row r="56">
      <c r="A56" s="2" t="inlineStr">
        <is>
          <t>Oct</t>
        </is>
      </c>
      <c r="B56" s="2" t="inlineStr">
        <is>
          <t>Weekly Meal Kit (Standard)</t>
        </is>
      </c>
      <c r="C56" s="3" t="n">
        <v>8</v>
      </c>
      <c r="D56" s="3" t="n">
        <v>2838</v>
      </c>
      <c r="E56" s="3" t="n">
        <v>146</v>
      </c>
      <c r="F56" s="3">
        <f>ROUND(E56/D56*100,2)</f>
        <v/>
      </c>
      <c r="G56" s="3" t="n">
        <v>19</v>
      </c>
      <c r="H56" s="3">
        <f>1254.43</f>
        <v/>
      </c>
      <c r="I56" s="3">
        <f>ROUND(H56/G56,2)</f>
        <v/>
      </c>
      <c r="J56" s="3">
        <f>ROUND(57.28,2)</f>
        <v/>
      </c>
      <c r="K56" s="3">
        <f>ROUND(6.008547021409617,1)</f>
        <v/>
      </c>
      <c r="L56" s="3">
        <f>ROUND(5.748385600349891,1)</f>
        <v/>
      </c>
      <c r="M56" s="2" t="inlineStr">
        <is>
          <t>Mediterranean Box</t>
        </is>
      </c>
      <c r="N56" s="2" t="inlineStr">
        <is>
          <t>Mediterranean Box</t>
        </is>
      </c>
      <c r="O56" s="2" t="inlineStr">
        <is>
          <t>N</t>
        </is>
      </c>
      <c r="P56" s="2" t="inlineStr">
        <is>
          <t>N</t>
        </is>
      </c>
      <c r="Q56" s="2" t="inlineStr">
        <is>
          <t>Product freshness guarantee messaging effective.</t>
        </is>
      </c>
    </row>
    <row r="57">
      <c r="A57" s="4" t="inlineStr">
        <is>
          <t>Oct</t>
        </is>
      </c>
      <c r="B57" s="4" t="inlineStr">
        <is>
          <t>Weekly Meal Kit (Family)</t>
        </is>
      </c>
      <c r="C57" s="5" t="n">
        <v>3</v>
      </c>
      <c r="D57" s="5" t="n">
        <v>6331</v>
      </c>
      <c r="E57" s="5" t="n">
        <v>311</v>
      </c>
      <c r="F57" s="5">
        <f>ROUND(E57/D57*100,2)</f>
        <v/>
      </c>
      <c r="G57" s="5" t="n">
        <v>20</v>
      </c>
      <c r="H57" s="5">
        <f>921.89</f>
        <v/>
      </c>
      <c r="I57" s="5">
        <f>ROUND(H57/G57,2)</f>
        <v/>
      </c>
      <c r="J57" s="5">
        <f>ROUND(19.76,2)</f>
        <v/>
      </c>
      <c r="K57" s="5">
        <f>ROUND(1.5506584897170104,1)</f>
        <v/>
      </c>
      <c r="L57" s="5">
        <f>ROUND(32.719484089064224,1)</f>
        <v/>
      </c>
      <c r="M57" s="4" t="inlineStr">
        <is>
          <t>Family Asian Fusion</t>
        </is>
      </c>
      <c r="N57" s="4" t="inlineStr">
        <is>
          <t>Family Rainbow Veggies</t>
        </is>
      </c>
      <c r="O57" s="4" t="inlineStr">
        <is>
          <t>N</t>
        </is>
      </c>
      <c r="P57" s="4" t="inlineStr">
        <is>
          <t>N</t>
        </is>
      </c>
      <c r="Q57" s="4" t="inlineStr">
        <is>
          <t>Storage concerns limiting family meal kit adoption.</t>
        </is>
      </c>
    </row>
    <row r="58">
      <c r="A58" s="2" t="inlineStr">
        <is>
          <t>Oct</t>
        </is>
      </c>
      <c r="B58" s="2" t="inlineStr">
        <is>
          <t>Snack Box (Small)</t>
        </is>
      </c>
      <c r="C58" s="3" t="n">
        <v>6</v>
      </c>
      <c r="D58" s="3" t="n">
        <v>3679</v>
      </c>
      <c r="E58" s="3" t="n">
        <v>205</v>
      </c>
      <c r="F58" s="3">
        <f>ROUND(E58/D58*100,2)</f>
        <v/>
      </c>
      <c r="G58" s="3" t="n">
        <v>13</v>
      </c>
      <c r="H58" s="3">
        <f>954.52</f>
        <v/>
      </c>
      <c r="I58" s="3">
        <f>ROUND(H58/G58,2)</f>
        <v/>
      </c>
      <c r="J58" s="3">
        <f>ROUND(31.04,2)</f>
        <v/>
      </c>
      <c r="K58" s="3">
        <f>ROUND(5.160967166815742,1)</f>
        <v/>
      </c>
      <c r="L58" s="3">
        <f>ROUND(26.056181914439914,1)</f>
        <v/>
      </c>
      <c r="M58" s="2" t="inlineStr">
        <is>
          <t>Energy Bars</t>
        </is>
      </c>
      <c r="N58" s="2" t="inlineStr">
        <is>
          <t>Energy Bars</t>
        </is>
      </c>
      <c r="O58" s="2" t="inlineStr">
        <is>
          <t>N</t>
        </is>
      </c>
      <c r="P58" s="2" t="inlineStr">
        <is>
          <t>N</t>
        </is>
      </c>
      <c r="Q58" s="2" t="inlineStr">
        <is>
          <t>Return rate elevated due to packaging damage in transit.</t>
        </is>
      </c>
    </row>
    <row r="59">
      <c r="A59" s="4" t="inlineStr">
        <is>
          <t>Oct</t>
        </is>
      </c>
      <c r="B59" s="4" t="inlineStr">
        <is>
          <t>Snack Box (Large)</t>
        </is>
      </c>
      <c r="C59" s="5" t="n">
        <v>4</v>
      </c>
      <c r="D59" s="5" t="n">
        <v>3225</v>
      </c>
      <c r="E59" s="5" t="n">
        <v>89</v>
      </c>
      <c r="F59" s="5">
        <f>ROUND(E59/D59*100,2)</f>
        <v/>
      </c>
      <c r="G59" s="5" t="n">
        <v>10</v>
      </c>
      <c r="H59" s="5">
        <f>685.54</f>
        <v/>
      </c>
      <c r="I59" s="5">
        <f>ROUND(H59/G59,2)</f>
        <v/>
      </c>
      <c r="J59" s="5">
        <f>ROUND(51.35,2)</f>
        <v/>
      </c>
      <c r="K59" s="5">
        <f>ROUND(7.517474342145892,1)</f>
        <v/>
      </c>
      <c r="L59" s="5">
        <f>ROUND(33.35252487523417,1)</f>
        <v/>
      </c>
      <c r="M59" s="4" t="inlineStr">
        <is>
          <t>Deluxe Mix Large</t>
        </is>
      </c>
      <c r="N59" s="4" t="inlineStr">
        <is>
          <t>Mixed Organic</t>
        </is>
      </c>
      <c r="O59" s="4" t="inlineStr">
        <is>
          <t>Y</t>
        </is>
      </c>
      <c r="P59" s="4" t="inlineStr">
        <is>
          <t>N</t>
        </is>
      </c>
      <c r="Q59" s="4" t="inlineStr">
        <is>
          <t>Sustainability messaging resonates with target persona.</t>
        </is>
      </c>
    </row>
    <row r="60">
      <c r="A60" s="2" t="inlineStr">
        <is>
          <t>Oct</t>
        </is>
      </c>
      <c r="B60" s="2" t="inlineStr">
        <is>
          <t>Pantry Staples Bundle</t>
        </is>
      </c>
      <c r="C60" s="3" t="n">
        <v>3</v>
      </c>
      <c r="D60" s="3" t="n">
        <v>7232</v>
      </c>
      <c r="E60" s="3" t="n">
        <v>188</v>
      </c>
      <c r="F60" s="3">
        <f>ROUND(E60/D60*100,2)</f>
        <v/>
      </c>
      <c r="G60" s="3" t="n">
        <v>28</v>
      </c>
      <c r="H60" s="3">
        <f>1161.23</f>
        <v/>
      </c>
      <c r="I60" s="3">
        <f>ROUND(H60/G60,2)</f>
        <v/>
      </c>
      <c r="J60" s="3">
        <f>ROUND(41.18,2)</f>
        <v/>
      </c>
      <c r="K60" s="3">
        <f>ROUND(1.8857698222992738,1)</f>
        <v/>
      </c>
      <c r="L60" s="3">
        <f>ROUND(7.770985874017771,1)</f>
        <v/>
      </c>
      <c r="M60" s="2" t="inlineStr">
        <is>
          <t>Spices Bundle</t>
        </is>
      </c>
      <c r="N60" s="2" t="inlineStr">
        <is>
          <t>Grains &amp; Pasta</t>
        </is>
      </c>
      <c r="O60" s="2" t="inlineStr">
        <is>
          <t>N</t>
        </is>
      </c>
      <c r="P60" s="2" t="inlineStr">
        <is>
          <t>N</t>
        </is>
      </c>
      <c r="Q60" s="2" t="inlineStr">
        <is>
          <t>Subscription bundling offer increased adoption by 18%.</t>
        </is>
      </c>
    </row>
    <row r="61">
      <c r="A61" s="4" t="inlineStr">
        <is>
          <t>Oct</t>
        </is>
      </c>
      <c r="B61" s="4" t="inlineStr">
        <is>
          <t>Seasonal Special Box</t>
        </is>
      </c>
      <c r="C61" s="5" t="n">
        <v>4</v>
      </c>
      <c r="D61" s="5" t="n">
        <v>6689</v>
      </c>
      <c r="E61" s="5" t="n">
        <v>294</v>
      </c>
      <c r="F61" s="5">
        <f>ROUND(E61/D61*100,2)</f>
        <v/>
      </c>
      <c r="G61" s="5" t="n">
        <v>19</v>
      </c>
      <c r="H61" s="5">
        <f>843.83</f>
        <v/>
      </c>
      <c r="I61" s="5">
        <f>ROUND(H61/G61,2)</f>
        <v/>
      </c>
      <c r="J61" s="5">
        <f>ROUND(19.13,2)</f>
        <v/>
      </c>
      <c r="K61" s="5">
        <f>ROUND(1.7304312521405318,1)</f>
        <v/>
      </c>
      <c r="L61" s="5">
        <f>ROUND(6.052467078187188,1)</f>
        <v/>
      </c>
      <c r="M61" s="4" t="inlineStr">
        <is>
          <t>Winter Holiday Mix</t>
        </is>
      </c>
      <c r="N61" s="4" t="inlineStr">
        <is>
          <t>Summer BBQ Pack</t>
        </is>
      </c>
      <c r="O61" s="4" t="inlineStr">
        <is>
          <t>N</t>
        </is>
      </c>
      <c r="P61" s="4" t="inlineStr">
        <is>
          <t>Y</t>
        </is>
      </c>
      <c r="Q61" s="4" t="inlineStr">
        <is>
          <t>Storage concerns limiting family meal kit adoption.</t>
        </is>
      </c>
    </row>
    <row r="62">
      <c r="A62" s="2" t="inlineStr">
        <is>
          <t>Nov</t>
        </is>
      </c>
      <c r="B62" s="2" t="inlineStr">
        <is>
          <t>Weekly Meal Kit (Standard)</t>
        </is>
      </c>
      <c r="C62" s="3" t="n">
        <v>6</v>
      </c>
      <c r="D62" s="3" t="n">
        <v>7319</v>
      </c>
      <c r="E62" s="3" t="n">
        <v>406</v>
      </c>
      <c r="F62" s="3">
        <f>ROUND(E62/D62*100,2)</f>
        <v/>
      </c>
      <c r="G62" s="3" t="n">
        <v>34</v>
      </c>
      <c r="H62" s="3">
        <f>1492.90</f>
        <v/>
      </c>
      <c r="I62" s="3">
        <f>ROUND(H62/G62,2)</f>
        <v/>
      </c>
      <c r="J62" s="3">
        <f>ROUND(24.51,2)</f>
        <v/>
      </c>
      <c r="K62" s="3">
        <f>ROUND(6.951161586216421,1)</f>
        <v/>
      </c>
      <c r="L62" s="3">
        <f>ROUND(25.80154823976682,1)</f>
        <v/>
      </c>
      <c r="M62" s="2" t="inlineStr">
        <is>
          <t>Mediterranean Box</t>
        </is>
      </c>
      <c r="N62" s="2" t="inlineStr">
        <is>
          <t>Organic Pasta Kit</t>
        </is>
      </c>
      <c r="O62" s="2" t="inlineStr">
        <is>
          <t>Y</t>
        </is>
      </c>
      <c r="P62" s="2" t="inlineStr">
        <is>
          <t>N</t>
        </is>
      </c>
      <c r="Q62" s="2" t="inlineStr">
        <is>
          <t>Organic certification badge improved trust signal; +8% CTR.</t>
        </is>
      </c>
    </row>
    <row r="63">
      <c r="A63" s="4" t="inlineStr">
        <is>
          <t>Nov</t>
        </is>
      </c>
      <c r="B63" s="4" t="inlineStr">
        <is>
          <t>Weekly Meal Kit (Family)</t>
        </is>
      </c>
      <c r="C63" s="5" t="n">
        <v>7</v>
      </c>
      <c r="D63" s="5" t="n">
        <v>5220</v>
      </c>
      <c r="E63" s="5" t="n">
        <v>201</v>
      </c>
      <c r="F63" s="5">
        <f>ROUND(E63/D63*100,2)</f>
        <v/>
      </c>
      <c r="G63" s="5" t="n">
        <v>21</v>
      </c>
      <c r="H63" s="5">
        <f>908.05</f>
        <v/>
      </c>
      <c r="I63" s="5">
        <f>ROUND(H63/G63,2)</f>
        <v/>
      </c>
      <c r="J63" s="5">
        <f>ROUND(30.12,2)</f>
        <v/>
      </c>
      <c r="K63" s="5">
        <f>ROUND(5.2971020959927255,1)</f>
        <v/>
      </c>
      <c r="L63" s="5">
        <f>ROUND(32.244708597946016,1)</f>
        <v/>
      </c>
      <c r="M63" s="4" t="inlineStr">
        <is>
          <t>Family Italian</t>
        </is>
      </c>
      <c r="N63" s="4" t="inlineStr">
        <is>
          <t>Family Rainbow Veggies</t>
        </is>
      </c>
      <c r="O63" s="4" t="inlineStr">
        <is>
          <t>N</t>
        </is>
      </c>
      <c r="P63" s="4" t="inlineStr">
        <is>
          <t>Y</t>
        </is>
      </c>
      <c r="Q63" s="4" t="inlineStr">
        <is>
          <t>Promotional discount increased AOV by 12%.</t>
        </is>
      </c>
    </row>
    <row r="64">
      <c r="A64" s="2" t="inlineStr">
        <is>
          <t>Nov</t>
        </is>
      </c>
      <c r="B64" s="2" t="inlineStr">
        <is>
          <t>Snack Box (Small)</t>
        </is>
      </c>
      <c r="C64" s="3" t="n">
        <v>4</v>
      </c>
      <c r="D64" s="3" t="n">
        <v>3733</v>
      </c>
      <c r="E64" s="3" t="n">
        <v>102</v>
      </c>
      <c r="F64" s="3">
        <f>ROUND(E64/D64*100,2)</f>
        <v/>
      </c>
      <c r="G64" s="3" t="n">
        <v>5</v>
      </c>
      <c r="H64" s="3">
        <f>256.47</f>
        <v/>
      </c>
      <c r="I64" s="3">
        <f>ROUND(H64/G64,2)</f>
        <v/>
      </c>
      <c r="J64" s="3">
        <f>ROUND(16.76,2)</f>
        <v/>
      </c>
      <c r="K64" s="3">
        <f>ROUND(6.253804967618367,1)</f>
        <v/>
      </c>
      <c r="L64" s="3">
        <f>ROUND(7.308742331652151,1)</f>
        <v/>
      </c>
      <c r="M64" s="2" t="inlineStr">
        <is>
          <t>Organic Chips</t>
        </is>
      </c>
      <c r="N64" s="2" t="inlineStr">
        <is>
          <t>Dried Fruit Blend</t>
        </is>
      </c>
      <c r="O64" s="2" t="inlineStr">
        <is>
          <t>N</t>
        </is>
      </c>
      <c r="P64" s="2" t="inlineStr">
        <is>
          <t>Y</t>
        </is>
      </c>
      <c r="Q64" s="2" t="inlineStr">
        <is>
          <t>Subscription conversion rate improved for meal kits.</t>
        </is>
      </c>
    </row>
    <row r="65">
      <c r="A65" s="4" t="inlineStr">
        <is>
          <t>Nov</t>
        </is>
      </c>
      <c r="B65" s="4" t="inlineStr">
        <is>
          <t>Snack Box (Large)</t>
        </is>
      </c>
      <c r="C65" s="5" t="n">
        <v>5</v>
      </c>
      <c r="D65" s="5" t="n">
        <v>7691</v>
      </c>
      <c r="E65" s="5" t="n">
        <v>177</v>
      </c>
      <c r="F65" s="5">
        <f>ROUND(E65/D65*100,2)</f>
        <v/>
      </c>
      <c r="G65" s="5" t="n">
        <v>16</v>
      </c>
      <c r="H65" s="5">
        <f>1026.42</f>
        <v/>
      </c>
      <c r="I65" s="5">
        <f>ROUND(H65/G65,2)</f>
        <v/>
      </c>
      <c r="J65" s="5">
        <f>ROUND(38.66,2)</f>
        <v/>
      </c>
      <c r="K65" s="5">
        <f>ROUND(4.863948314869409,1)</f>
        <v/>
      </c>
      <c r="L65" s="5">
        <f>ROUND(27.062941738527037,1)</f>
        <v/>
      </c>
      <c r="M65" s="4" t="inlineStr">
        <is>
          <t>Deluxe Mix Large</t>
        </is>
      </c>
      <c r="N65" s="4" t="inlineStr">
        <is>
          <t>Protein Snack Box</t>
        </is>
      </c>
      <c r="O65" s="4" t="inlineStr">
        <is>
          <t>N</t>
        </is>
      </c>
      <c r="P65" s="4" t="inlineStr">
        <is>
          <t>N</t>
        </is>
      </c>
      <c r="Q65" s="4" t="inlineStr">
        <is>
          <t>Organic certification badge improved trust signal; +8% CTR.</t>
        </is>
      </c>
    </row>
    <row r="66">
      <c r="A66" s="2" t="inlineStr">
        <is>
          <t>Nov</t>
        </is>
      </c>
      <c r="B66" s="2" t="inlineStr">
        <is>
          <t>Pantry Staples Bundle</t>
        </is>
      </c>
      <c r="C66" s="3" t="n">
        <v>4</v>
      </c>
      <c r="D66" s="3" t="n">
        <v>2307</v>
      </c>
      <c r="E66" s="3" t="n">
        <v>94</v>
      </c>
      <c r="F66" s="3">
        <f>ROUND(E66/D66*100,2)</f>
        <v/>
      </c>
      <c r="G66" s="3" t="n">
        <v>10</v>
      </c>
      <c r="H66" s="3">
        <f>595.39</f>
        <v/>
      </c>
      <c r="I66" s="3">
        <f>ROUND(H66/G66,2)</f>
        <v/>
      </c>
      <c r="J66" s="3">
        <f>ROUND(42.23,2)</f>
        <v/>
      </c>
      <c r="K66" s="3">
        <f>ROUND(7.1587533050154,1)</f>
        <v/>
      </c>
      <c r="L66" s="3">
        <f>ROUND(10.000495586023957,1)</f>
        <v/>
      </c>
      <c r="M66" s="2" t="inlineStr">
        <is>
          <t>Baking Essentials</t>
        </is>
      </c>
      <c r="N66" s="2" t="inlineStr">
        <is>
          <t>Spices Bundle</t>
        </is>
      </c>
      <c r="O66" s="2" t="inlineStr">
        <is>
          <t>Y</t>
        </is>
      </c>
      <c r="P66" s="2" t="inlineStr">
        <is>
          <t>N</t>
        </is>
      </c>
      <c r="Q66" s="2" t="inlineStr">
        <is>
          <t>Product quality feedback positive across all categories.</t>
        </is>
      </c>
    </row>
    <row r="67">
      <c r="A67" s="4" t="inlineStr">
        <is>
          <t>Nov</t>
        </is>
      </c>
      <c r="B67" s="4" t="inlineStr">
        <is>
          <t>Seasonal Special Box</t>
        </is>
      </c>
      <c r="C67" s="5" t="n">
        <v>3</v>
      </c>
      <c r="D67" s="5" t="n">
        <v>2227</v>
      </c>
      <c r="E67" s="5" t="n">
        <v>74</v>
      </c>
      <c r="F67" s="5">
        <f>ROUND(E67/D67*100,2)</f>
        <v/>
      </c>
      <c r="G67" s="5" t="n">
        <v>3</v>
      </c>
      <c r="H67" s="5">
        <f>133.18</f>
        <v/>
      </c>
      <c r="I67" s="5">
        <f>ROUND(H67/G67,2)</f>
        <v/>
      </c>
      <c r="J67" s="5">
        <f>ROUND(12.00,2)</f>
        <v/>
      </c>
      <c r="K67" s="5">
        <f>ROUND(6.8997274562148405,1)</f>
        <v/>
      </c>
      <c r="L67" s="5">
        <f>ROUND(16.21587776982916,1)</f>
        <v/>
      </c>
      <c r="M67" s="4" t="inlineStr">
        <is>
          <t>Fall Harvest</t>
        </is>
      </c>
      <c r="N67" s="4" t="inlineStr">
        <is>
          <t>Winter Holiday Mix</t>
        </is>
      </c>
      <c r="O67" s="4" t="inlineStr">
        <is>
          <t>Y</t>
        </is>
      </c>
      <c r="P67" s="4" t="inlineStr">
        <is>
          <t>N</t>
        </is>
      </c>
      <c r="Q67" s="4" t="inlineStr">
        <is>
          <t>Snack box cannibalization with meal kits noted; adjusted positioning.</t>
        </is>
      </c>
    </row>
    <row r="68">
      <c r="A68" s="2" t="inlineStr">
        <is>
          <t>Dec</t>
        </is>
      </c>
      <c r="B68" s="2" t="inlineStr">
        <is>
          <t>Weekly Meal Kit (Standard)</t>
        </is>
      </c>
      <c r="C68" s="3" t="n">
        <v>4</v>
      </c>
      <c r="D68" s="3" t="n">
        <v>6388</v>
      </c>
      <c r="E68" s="3" t="n">
        <v>150</v>
      </c>
      <c r="F68" s="3">
        <f>ROUND(E68/D68*100,2)</f>
        <v/>
      </c>
      <c r="G68" s="3" t="n">
        <v>18</v>
      </c>
      <c r="H68" s="3">
        <f>768.84</f>
        <v/>
      </c>
      <c r="I68" s="3">
        <f>ROUND(H68/G68,2)</f>
        <v/>
      </c>
      <c r="J68" s="3">
        <f>ROUND(34.17,2)</f>
        <v/>
      </c>
      <c r="K68" s="3">
        <f>ROUND(1.1102741571288348,1)</f>
        <v/>
      </c>
      <c r="L68" s="3">
        <f>ROUND(23.946324022635448,1)</f>
        <v/>
      </c>
      <c r="M68" s="2" t="inlineStr">
        <is>
          <t>Vegetarian Delight</t>
        </is>
      </c>
      <c r="N68" s="2" t="inlineStr">
        <is>
          <t>Mediterranean Box</t>
        </is>
      </c>
      <c r="O68" s="2" t="inlineStr">
        <is>
          <t>N</t>
        </is>
      </c>
      <c r="P68" s="2" t="inlineStr">
        <is>
          <t>N</t>
        </is>
      </c>
      <c r="Q68" s="2" t="inlineStr">
        <is>
          <t>New SKU variant (vegan protein) trending; plan expansion.</t>
        </is>
      </c>
    </row>
    <row r="69">
      <c r="A69" s="4" t="inlineStr">
        <is>
          <t>Dec</t>
        </is>
      </c>
      <c r="B69" s="4" t="inlineStr">
        <is>
          <t>Weekly Meal Kit (Family)</t>
        </is>
      </c>
      <c r="C69" s="5" t="n">
        <v>6</v>
      </c>
      <c r="D69" s="5" t="n">
        <v>7611</v>
      </c>
      <c r="E69" s="5" t="n">
        <v>273</v>
      </c>
      <c r="F69" s="5">
        <f>ROUND(E69/D69*100,2)</f>
        <v/>
      </c>
      <c r="G69" s="5" t="n">
        <v>27</v>
      </c>
      <c r="H69" s="5">
        <f>1602.32</f>
        <v/>
      </c>
      <c r="I69" s="5">
        <f>ROUND(H69/G69,2)</f>
        <v/>
      </c>
      <c r="J69" s="5">
        <f>ROUND(39.13,2)</f>
        <v/>
      </c>
      <c r="K69" s="5">
        <f>ROUND(5.342788485341581,1)</f>
        <v/>
      </c>
      <c r="L69" s="5">
        <f>ROUND(34.59900172710005,1)</f>
        <v/>
      </c>
      <c r="M69" s="4" t="inlineStr">
        <is>
          <t>Family Asian Fusion</t>
        </is>
      </c>
      <c r="N69" s="4" t="inlineStr">
        <is>
          <t>Family Asian Fusion</t>
        </is>
      </c>
      <c r="O69" s="4" t="inlineStr">
        <is>
          <t>Y</t>
        </is>
      </c>
      <c r="P69" s="4" t="inlineStr">
        <is>
          <t>N</t>
        </is>
      </c>
      <c r="Q69" s="4" t="inlineStr">
        <is>
          <t>Pantry bundle performing above forecast.</t>
        </is>
      </c>
    </row>
    <row r="70">
      <c r="A70" s="2" t="inlineStr">
        <is>
          <t>Dec</t>
        </is>
      </c>
      <c r="B70" s="2" t="inlineStr">
        <is>
          <t>Snack Box (Small)</t>
        </is>
      </c>
      <c r="C70" s="3" t="n">
        <v>8</v>
      </c>
      <c r="D70" s="3" t="n">
        <v>3981</v>
      </c>
      <c r="E70" s="3" t="n">
        <v>126</v>
      </c>
      <c r="F70" s="3">
        <f>ROUND(E70/D70*100,2)</f>
        <v/>
      </c>
      <c r="G70" s="3" t="n">
        <v>14</v>
      </c>
      <c r="H70" s="3">
        <f>619.22</f>
        <v/>
      </c>
      <c r="I70" s="3">
        <f>ROUND(H70/G70,2)</f>
        <v/>
      </c>
      <c r="J70" s="3">
        <f>ROUND(32.76,2)</f>
        <v/>
      </c>
      <c r="K70" s="3">
        <f>ROUND(1.236744144128118,1)</f>
        <v/>
      </c>
      <c r="L70" s="3">
        <f>ROUND(30.86771453605248,1)</f>
        <v/>
      </c>
      <c r="M70" s="2" t="inlineStr">
        <is>
          <t>Energy Bars</t>
        </is>
      </c>
      <c r="N70" s="2" t="inlineStr">
        <is>
          <t>Organic Chips</t>
        </is>
      </c>
      <c r="O70" s="2" t="inlineStr">
        <is>
          <t>N</t>
        </is>
      </c>
      <c r="P70" s="2" t="inlineStr">
        <is>
          <t>N</t>
        </is>
      </c>
      <c r="Q70" s="2" t="inlineStr">
        <is>
          <t>New SKU variant (vegan protein) trending; plan expansion.</t>
        </is>
      </c>
    </row>
    <row r="71">
      <c r="A71" s="4" t="inlineStr">
        <is>
          <t>Dec</t>
        </is>
      </c>
      <c r="B71" s="4" t="inlineStr">
        <is>
          <t>Snack Box (Large)</t>
        </is>
      </c>
      <c r="C71" s="5" t="n">
        <v>6</v>
      </c>
      <c r="D71" s="5" t="n">
        <v>4810</v>
      </c>
      <c r="E71" s="5" t="n">
        <v>287</v>
      </c>
      <c r="F71" s="5">
        <f>ROUND(E71/D71*100,2)</f>
        <v/>
      </c>
      <c r="G71" s="5" t="n">
        <v>32</v>
      </c>
      <c r="H71" s="5">
        <f>1767.52</f>
        <v/>
      </c>
      <c r="I71" s="5">
        <f>ROUND(H71/G71,2)</f>
        <v/>
      </c>
      <c r="J71" s="5">
        <f>ROUND(41.06,2)</f>
        <v/>
      </c>
      <c r="K71" s="5">
        <f>ROUND(4.447131544800497,1)</f>
        <v/>
      </c>
      <c r="L71" s="5">
        <f>ROUND(14.56054820900561,1)</f>
        <v/>
      </c>
      <c r="M71" s="4" t="inlineStr">
        <is>
          <t>Protein Snack Box</t>
        </is>
      </c>
      <c r="N71" s="4" t="inlineStr">
        <is>
          <t>Protein Snack Box</t>
        </is>
      </c>
      <c r="O71" s="4" t="inlineStr">
        <is>
          <t>N</t>
        </is>
      </c>
      <c r="P71" s="4" t="inlineStr">
        <is>
          <t>N</t>
        </is>
      </c>
      <c r="Q71" s="4" t="inlineStr">
        <is>
          <t>Subscription conversion rate improved for meal kits.</t>
        </is>
      </c>
    </row>
    <row r="72">
      <c r="A72" s="2" t="inlineStr">
        <is>
          <t>Dec</t>
        </is>
      </c>
      <c r="B72" s="2" t="inlineStr">
        <is>
          <t>Pantry Staples Bundle</t>
        </is>
      </c>
      <c r="C72" s="3" t="n">
        <v>6</v>
      </c>
      <c r="D72" s="3" t="n">
        <v>6122</v>
      </c>
      <c r="E72" s="3" t="n">
        <v>152</v>
      </c>
      <c r="F72" s="3">
        <f>ROUND(E72/D72*100,2)</f>
        <v/>
      </c>
      <c r="G72" s="3" t="n">
        <v>13</v>
      </c>
      <c r="H72" s="3">
        <f>593.19</f>
        <v/>
      </c>
      <c r="I72" s="3">
        <f>ROUND(H72/G72,2)</f>
        <v/>
      </c>
      <c r="J72" s="3">
        <f>ROUND(26.02,2)</f>
        <v/>
      </c>
      <c r="K72" s="3">
        <f>ROUND(5.379078397156808,1)</f>
        <v/>
      </c>
      <c r="L72" s="3">
        <f>ROUND(7.9663364026706525,1)</f>
        <v/>
      </c>
      <c r="M72" s="2" t="inlineStr">
        <is>
          <t>Spices Bundle</t>
        </is>
      </c>
      <c r="N72" s="2" t="inlineStr">
        <is>
          <t>Oils &amp; Vinegar</t>
        </is>
      </c>
      <c r="O72" s="2" t="inlineStr">
        <is>
          <t>N</t>
        </is>
      </c>
      <c r="P72" s="2" t="inlineStr">
        <is>
          <t>Y</t>
        </is>
      </c>
      <c r="Q72" s="2" t="inlineStr">
        <is>
          <t>Organic certification badge improved trust signal; +8% CTR.</t>
        </is>
      </c>
    </row>
    <row r="73">
      <c r="A73" s="4" t="inlineStr">
        <is>
          <t>Dec</t>
        </is>
      </c>
      <c r="B73" s="4" t="inlineStr">
        <is>
          <t>Seasonal Special Box</t>
        </is>
      </c>
      <c r="C73" s="5" t="n">
        <v>3</v>
      </c>
      <c r="D73" s="5" t="n">
        <v>5399</v>
      </c>
      <c r="E73" s="5" t="n">
        <v>315</v>
      </c>
      <c r="F73" s="5">
        <f>ROUND(E73/D73*100,2)</f>
        <v/>
      </c>
      <c r="G73" s="5" t="n">
        <v>31</v>
      </c>
      <c r="H73" s="5">
        <f>2056.11</f>
        <v/>
      </c>
      <c r="I73" s="5">
        <f>ROUND(H73/G73,2)</f>
        <v/>
      </c>
      <c r="J73" s="5">
        <f>ROUND(43.52,2)</f>
        <v/>
      </c>
      <c r="K73" s="5">
        <f>ROUND(6.605648507981705,1)</f>
        <v/>
      </c>
      <c r="L73" s="5">
        <f>ROUND(16.35471875937514,1)</f>
        <v/>
      </c>
      <c r="M73" s="4" t="inlineStr">
        <is>
          <t>Winter Holiday Mix</t>
        </is>
      </c>
      <c r="N73" s="4" t="inlineStr">
        <is>
          <t>Spring Garden Fresh</t>
        </is>
      </c>
      <c r="O73" s="4" t="inlineStr">
        <is>
          <t>N</t>
        </is>
      </c>
      <c r="P73" s="4" t="inlineStr">
        <is>
          <t>N</t>
        </is>
      </c>
      <c r="Q73" s="4" t="inlineStr">
        <is>
          <t>Storage concerns limiting family meal kit adoption.</t>
        </is>
      </c>
    </row>
    <row r="74">
      <c r="B74" t="inlineStr">
        <is>
          <t>TOTAL</t>
        </is>
      </c>
      <c r="C74">
        <f>AVERAGE(C2:C73)</f>
        <v/>
      </c>
      <c r="D74">
        <f>SUM(D2:D73)</f>
        <v/>
      </c>
      <c r="E74">
        <f>SUM(E2:E73)</f>
        <v/>
      </c>
      <c r="F74">
        <f>ROUND(AVERAGE(F2:F73),2)</f>
        <v/>
      </c>
      <c r="G74">
        <f>SUM(G2:G73)</f>
        <v/>
      </c>
      <c r="H74">
        <f>SUM(H2:H73)</f>
        <v/>
      </c>
      <c r="I74">
        <f>ROUND(AVERAGE(I2:I73),2)</f>
        <v/>
      </c>
      <c r="J74">
        <f>ROUND(AVERAGE(J2:J73),2)</f>
        <v/>
      </c>
      <c r="K74">
        <f>ROUND(AVERAGE(K2:K73),2)</f>
        <v/>
      </c>
      <c r="L74">
        <f>ROUND(AVERAGE(L2:L73),2)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  <col width="40" customWidth="1" min="14" max="14"/>
    <col width="40" customWidth="1" min="15" max="15"/>
  </cols>
  <sheetData>
    <row r="1">
      <c r="A1" s="1" t="inlineStr">
        <is>
          <t>Quarter</t>
        </is>
      </c>
      <c r="B1" s="1" t="inlineStr">
        <is>
          <t>Persona/Segment</t>
        </is>
      </c>
      <c r="C1" s="1" t="inlineStr">
        <is>
          <t>Primary Channel</t>
        </is>
      </c>
      <c r="D1" s="1" t="inlineStr">
        <is>
          <t>Spend (CHF)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New Subscriptions</t>
        </is>
      </c>
      <c r="H1" s="1" t="inlineStr">
        <is>
          <t>CVR (%)</t>
        </is>
      </c>
      <c r="I1" s="1" t="inlineStr">
        <is>
          <t>CAC (CHF)</t>
        </is>
      </c>
      <c r="J1" s="1" t="inlineStr">
        <is>
          <t>Avg LTV (CHF)</t>
        </is>
      </c>
      <c r="K1" s="1" t="inlineStr">
        <is>
          <t>LTV:CAC</t>
        </is>
      </c>
      <c r="L1" s="1" t="inlineStr">
        <is>
          <t>Retention at M3 (%)</t>
        </is>
      </c>
      <c r="M1" s="1" t="inlineStr">
        <is>
          <t>Content Themes That Worked</t>
        </is>
      </c>
      <c r="N1" s="1" t="inlineStr">
        <is>
          <t>Messaging Angles That Failed</t>
        </is>
      </c>
      <c r="O1" s="1" t="inlineStr">
        <is>
          <t>Recommended Q Next Actions</t>
        </is>
      </c>
    </row>
    <row r="2">
      <c r="A2" s="2" t="inlineStr">
        <is>
          <t>Q1</t>
        </is>
      </c>
      <c r="B2" s="2" t="inlineStr">
        <is>
          <t>Health-Conscious Professional</t>
        </is>
      </c>
      <c r="C2" s="2" t="inlineStr">
        <is>
          <t>Google Search</t>
        </is>
      </c>
      <c r="D2" s="3">
        <f>16613.29</f>
        <v/>
      </c>
      <c r="E2" s="3" t="n">
        <v>237329</v>
      </c>
      <c r="F2" s="3" t="n">
        <v>3630</v>
      </c>
      <c r="G2" s="3" t="n">
        <v>346</v>
      </c>
      <c r="H2" s="3">
        <f>ROUND(9.53168044077135,2)</f>
        <v/>
      </c>
      <c r="I2" s="3">
        <f>19.50</f>
        <v/>
      </c>
      <c r="J2" s="3">
        <f>194.48</f>
        <v/>
      </c>
      <c r="K2" s="3">
        <f>ROUND(J2/I2,2)</f>
        <v/>
      </c>
      <c r="L2" s="3">
        <f>ROUND(70,1)</f>
        <v/>
      </c>
      <c r="M2" s="2" t="inlineStr">
        <is>
          <t>Organic certification &amp; nutritional transparency, Premium gifting &amp; special occasions, Sustainability &amp; packaging reduction</t>
        </is>
      </c>
      <c r="N2" s="2" t="inlineStr">
        <is>
          <t>Overly technical nutrition language, Assumptive family size messaging</t>
        </is>
      </c>
      <c r="O2" s="2" t="inlineStr">
        <is>
          <t>Implement dynamic creative optimization for audience segments</t>
        </is>
      </c>
    </row>
    <row r="3">
      <c r="A3" s="4" t="inlineStr">
        <is>
          <t>Q1</t>
        </is>
      </c>
      <c r="B3" s="4" t="inlineStr">
        <is>
          <t>Eco-Minded Family</t>
        </is>
      </c>
      <c r="C3" s="4" t="inlineStr">
        <is>
          <t>Google Search</t>
        </is>
      </c>
      <c r="D3" s="5">
        <f>17190.77</f>
        <v/>
      </c>
      <c r="E3" s="5" t="n">
        <v>273191</v>
      </c>
      <c r="F3" s="5" t="n">
        <v>9936</v>
      </c>
      <c r="G3" s="5" t="n">
        <v>903</v>
      </c>
      <c r="H3" s="5">
        <f>ROUND(9.08816425120773,2)</f>
        <v/>
      </c>
      <c r="I3" s="5">
        <f>23.95</f>
        <v/>
      </c>
      <c r="J3" s="5">
        <f>215.01</f>
        <v/>
      </c>
      <c r="K3" s="5">
        <f>ROUND(J3/I3,2)</f>
        <v/>
      </c>
      <c r="L3" s="5">
        <f>ROUND(76,1)</f>
        <v/>
      </c>
      <c r="M3" s="4" t="inlineStr">
        <is>
          <t>Health benefits &amp; wellness claims, Sustainability &amp; packaging reduction, Subscription flexibility &amp; customization</t>
        </is>
      </c>
      <c r="N3" s="4" t="inlineStr">
        <is>
          <t>One-size-fits-all campaign creative, Overly technical nutrition language</t>
        </is>
      </c>
      <c r="O3" s="4" t="inlineStr">
        <is>
          <t>Implement dynamic creative optimization for audience segments</t>
        </is>
      </c>
    </row>
    <row r="4">
      <c r="A4" s="2" t="inlineStr">
        <is>
          <t>Q1</t>
        </is>
      </c>
      <c r="B4" s="2" t="inlineStr">
        <is>
          <t>Fitness Enthusiast</t>
        </is>
      </c>
      <c r="C4" s="2" t="inlineStr">
        <is>
          <t>Meta</t>
        </is>
      </c>
      <c r="D4" s="3">
        <f>8962.24</f>
        <v/>
      </c>
      <c r="E4" s="3" t="n">
        <v>140457</v>
      </c>
      <c r="F4" s="3" t="n">
        <v>5934</v>
      </c>
      <c r="G4" s="3" t="n">
        <v>710</v>
      </c>
      <c r="H4" s="3">
        <f>ROUND(11.9649477586788,2)</f>
        <v/>
      </c>
      <c r="I4" s="3">
        <f>20.83</f>
        <v/>
      </c>
      <c r="J4" s="3">
        <f>209.11</f>
        <v/>
      </c>
      <c r="K4" s="3">
        <f>ROUND(J4/I4,2)</f>
        <v/>
      </c>
      <c r="L4" s="3">
        <f>ROUND(66,1)</f>
        <v/>
      </c>
      <c r="M4" s="2" t="inlineStr">
        <is>
          <t>Performance nutrition &amp; recovery benefits, Premium gifting &amp; special occasions, Recipe diversity &amp; culinary exploration</t>
        </is>
      </c>
      <c r="N4" s="2" t="inlineStr">
        <is>
          <t>Outdated influencer partnerships, Generic 'healthy eating' messaging</t>
        </is>
      </c>
      <c r="O4" s="2" t="inlineStr">
        <is>
          <t>Expand video content strategy; short-form performs 2.3x better</t>
        </is>
      </c>
    </row>
    <row r="5">
      <c r="A5" s="4" t="inlineStr">
        <is>
          <t>Q1</t>
        </is>
      </c>
      <c r="B5" s="4" t="inlineStr">
        <is>
          <t>Lapsed Subscriber</t>
        </is>
      </c>
      <c r="C5" s="4" t="inlineStr">
        <is>
          <t>TikTok</t>
        </is>
      </c>
      <c r="D5" s="5">
        <f>10852.46</f>
        <v/>
      </c>
      <c r="E5" s="5" t="n">
        <v>168136</v>
      </c>
      <c r="F5" s="5" t="n">
        <v>3412</v>
      </c>
      <c r="G5" s="5" t="n">
        <v>222</v>
      </c>
      <c r="H5" s="5">
        <f>ROUND(6.506447831184056,2)</f>
        <v/>
      </c>
      <c r="I5" s="5">
        <f>32.21</f>
        <v/>
      </c>
      <c r="J5" s="5">
        <f>169.70</f>
        <v/>
      </c>
      <c r="K5" s="5">
        <f>ROUND(J5/I5,2)</f>
        <v/>
      </c>
      <c r="L5" s="5">
        <f>ROUND(80,1)</f>
        <v/>
      </c>
      <c r="M5" s="4" t="inlineStr">
        <is>
          <t>Organic certification &amp; nutritional transparency, Sustainability &amp; packaging reduction, Subscription flexibility &amp; customization</t>
        </is>
      </c>
      <c r="N5" s="4" t="inlineStr">
        <is>
          <t>Outdated influencer partnerships, Assumptive family size messaging</t>
        </is>
      </c>
      <c r="O5" s="4" t="inlineStr">
        <is>
          <t>Test regional messaging variations (urban vs. suburban)</t>
        </is>
      </c>
    </row>
    <row r="6">
      <c r="A6" s="2" t="inlineStr">
        <is>
          <t>Q1</t>
        </is>
      </c>
      <c r="B6" s="2" t="inlineStr">
        <is>
          <t>Gift Purchaser</t>
        </is>
      </c>
      <c r="C6" s="2" t="inlineStr">
        <is>
          <t>Google Search</t>
        </is>
      </c>
      <c r="D6" s="3">
        <f>9552.39</f>
        <v/>
      </c>
      <c r="E6" s="3" t="n">
        <v>163766</v>
      </c>
      <c r="F6" s="3" t="n">
        <v>6866</v>
      </c>
      <c r="G6" s="3" t="n">
        <v>519</v>
      </c>
      <c r="H6" s="3">
        <f>ROUND(7.558986309350423,2)</f>
        <v/>
      </c>
      <c r="I6" s="3">
        <f>27.74</f>
        <v/>
      </c>
      <c r="J6" s="3">
        <f>134.87</f>
        <v/>
      </c>
      <c r="K6" s="3">
        <f>ROUND(J6/I6,2)</f>
        <v/>
      </c>
      <c r="L6" s="3">
        <f>ROUND(70,1)</f>
        <v/>
      </c>
      <c r="M6" s="2" t="inlineStr">
        <is>
          <t>Recipe diversity &amp; culinary exploration, Budget meal planning tips, Health benefits &amp; wellness claims</t>
        </is>
      </c>
      <c r="N6" s="2" t="inlineStr">
        <is>
          <t>Outdated influencer partnerships, Excessive promotional frequency</t>
        </is>
      </c>
      <c r="O6" s="2" t="inlineStr">
        <is>
          <t>Develop gift-specific landing page with corporate messaging</t>
        </is>
      </c>
    </row>
    <row r="7">
      <c r="A7" s="4" t="inlineStr">
        <is>
          <t>Q2</t>
        </is>
      </c>
      <c r="B7" s="4" t="inlineStr">
        <is>
          <t>Health-Conscious Professional</t>
        </is>
      </c>
      <c r="C7" s="4" t="inlineStr">
        <is>
          <t>Meta</t>
        </is>
      </c>
      <c r="D7" s="5">
        <f>16248.28</f>
        <v/>
      </c>
      <c r="E7" s="5" t="n">
        <v>193156</v>
      </c>
      <c r="F7" s="5" t="n">
        <v>4962</v>
      </c>
      <c r="G7" s="5" t="n">
        <v>488</v>
      </c>
      <c r="H7" s="5">
        <f>ROUND(9.834744054816607,2)</f>
        <v/>
      </c>
      <c r="I7" s="5">
        <f>20.44</f>
        <v/>
      </c>
      <c r="J7" s="5">
        <f>194.23</f>
        <v/>
      </c>
      <c r="K7" s="5">
        <f>ROUND(J7/I7,2)</f>
        <v/>
      </c>
      <c r="L7" s="5">
        <f>ROUND(69,1)</f>
        <v/>
      </c>
      <c r="M7" s="4" t="inlineStr">
        <is>
          <t>Sustainability &amp; packaging reduction, Health benefits &amp; wellness claims, Performance nutrition &amp; recovery benefits</t>
        </is>
      </c>
      <c r="N7" s="4" t="inlineStr">
        <is>
          <t>Outdated influencer partnerships, Irrelevant seasonal messaging</t>
        </is>
      </c>
      <c r="O7" s="4" t="inlineStr">
        <is>
          <t>Test partnership with micro-influencers in target DMA</t>
        </is>
      </c>
    </row>
    <row r="8">
      <c r="A8" s="2" t="inlineStr">
        <is>
          <t>Q2</t>
        </is>
      </c>
      <c r="B8" s="2" t="inlineStr">
        <is>
          <t>Eco-Minded Family</t>
        </is>
      </c>
      <c r="C8" s="2" t="inlineStr">
        <is>
          <t>Meta</t>
        </is>
      </c>
      <c r="D8" s="3">
        <f>12176.36</f>
        <v/>
      </c>
      <c r="E8" s="3" t="n">
        <v>216158</v>
      </c>
      <c r="F8" s="3" t="n">
        <v>4170</v>
      </c>
      <c r="G8" s="3" t="n">
        <v>350</v>
      </c>
      <c r="H8" s="3">
        <f>ROUND(8.393285371702639,2)</f>
        <v/>
      </c>
      <c r="I8" s="3">
        <f>21.74</f>
        <v/>
      </c>
      <c r="J8" s="3">
        <f>192.41</f>
        <v/>
      </c>
      <c r="K8" s="3">
        <f>ROUND(J8/I8,2)</f>
        <v/>
      </c>
      <c r="L8" s="3">
        <f>ROUND(76,1)</f>
        <v/>
      </c>
      <c r="M8" s="2" t="inlineStr">
        <is>
          <t>Organic certification &amp; nutritional transparency, Local sourcing &amp; farmer support, Performance nutrition &amp; recovery benefits</t>
        </is>
      </c>
      <c r="N8" s="2" t="inlineStr">
        <is>
          <t>Environmental guilt-based appeals, One-size-fits-all campaign creative</t>
        </is>
      </c>
      <c r="O8" s="2" t="inlineStr">
        <is>
          <t>Increase frequency of lifestyle-focused UGC content</t>
        </is>
      </c>
    </row>
    <row r="9">
      <c r="A9" s="4" t="inlineStr">
        <is>
          <t>Q2</t>
        </is>
      </c>
      <c r="B9" s="4" t="inlineStr">
        <is>
          <t>Fitness Enthusiast</t>
        </is>
      </c>
      <c r="C9" s="4" t="inlineStr">
        <is>
          <t>Google Search</t>
        </is>
      </c>
      <c r="D9" s="5">
        <f>12954.38</f>
        <v/>
      </c>
      <c r="E9" s="5" t="n">
        <v>215725</v>
      </c>
      <c r="F9" s="5" t="n">
        <v>3501</v>
      </c>
      <c r="G9" s="5" t="n">
        <v>350</v>
      </c>
      <c r="H9" s="5">
        <f>ROUND(9.997143673236218,2)</f>
        <v/>
      </c>
      <c r="I9" s="5">
        <f>17.55</f>
        <v/>
      </c>
      <c r="J9" s="5">
        <f>185.63</f>
        <v/>
      </c>
      <c r="K9" s="5">
        <f>ROUND(J9/I9,2)</f>
        <v/>
      </c>
      <c r="L9" s="5">
        <f>ROUND(74,1)</f>
        <v/>
      </c>
      <c r="M9" s="4" t="inlineStr">
        <is>
          <t>Family meal prep convenience &amp; time savings, Local sourcing &amp; farmer support, Sustainability &amp; packaging reduction</t>
        </is>
      </c>
      <c r="N9" s="4" t="inlineStr">
        <is>
          <t>Generic 'healthy eating' messaging, Excessive promotional frequency</t>
        </is>
      </c>
      <c r="O9" s="4" t="inlineStr">
        <is>
          <t>Implement post-purchase follow-up campaign within 48 hours</t>
        </is>
      </c>
    </row>
    <row r="10">
      <c r="A10" s="2" t="inlineStr">
        <is>
          <t>Q2</t>
        </is>
      </c>
      <c r="B10" s="2" t="inlineStr">
        <is>
          <t>Lapsed Subscriber</t>
        </is>
      </c>
      <c r="C10" s="2" t="inlineStr">
        <is>
          <t>TikTok</t>
        </is>
      </c>
      <c r="D10" s="3">
        <f>11191.01</f>
        <v/>
      </c>
      <c r="E10" s="3" t="n">
        <v>122256</v>
      </c>
      <c r="F10" s="3" t="n">
        <v>1915</v>
      </c>
      <c r="G10" s="3" t="n">
        <v>122</v>
      </c>
      <c r="H10" s="3">
        <f>ROUND(6.370757180156658,2)</f>
        <v/>
      </c>
      <c r="I10" s="3">
        <f>31.68</f>
        <v/>
      </c>
      <c r="J10" s="3">
        <f>165.77</f>
        <v/>
      </c>
      <c r="K10" s="3">
        <f>ROUND(J10/I10,2)</f>
        <v/>
      </c>
      <c r="L10" s="3">
        <f>ROUND(70,1)</f>
        <v/>
      </c>
      <c r="M10" s="2" t="inlineStr">
        <is>
          <t>Premium gifting &amp; special occasions, Performance nutrition &amp; recovery benefits, Sustainability &amp; packaging reduction</t>
        </is>
      </c>
      <c r="N10" s="2" t="inlineStr">
        <is>
          <t>Generic 'healthy eating' messaging, Environmental guilt-based appeals</t>
        </is>
      </c>
      <c r="O10" s="2" t="inlineStr">
        <is>
          <t>Launch SMS nurture sequence for lapsed subscribers</t>
        </is>
      </c>
    </row>
    <row r="11">
      <c r="A11" s="4" t="inlineStr">
        <is>
          <t>Q2</t>
        </is>
      </c>
      <c r="B11" s="4" t="inlineStr">
        <is>
          <t>Gift Purchaser</t>
        </is>
      </c>
      <c r="C11" s="4" t="inlineStr">
        <is>
          <t>Google Search</t>
        </is>
      </c>
      <c r="D11" s="5">
        <f>8943.19</f>
        <v/>
      </c>
      <c r="E11" s="5" t="n">
        <v>114941</v>
      </c>
      <c r="F11" s="5" t="n">
        <v>3094</v>
      </c>
      <c r="G11" s="5" t="n">
        <v>230</v>
      </c>
      <c r="H11" s="5">
        <f>ROUND(7.433742727860375,2)</f>
        <v/>
      </c>
      <c r="I11" s="5">
        <f>25.76</f>
        <v/>
      </c>
      <c r="J11" s="5">
        <f>127.86</f>
        <v/>
      </c>
      <c r="K11" s="5">
        <f>ROUND(J11/I11,2)</f>
        <v/>
      </c>
      <c r="L11" s="5">
        <f>ROUND(68,1)</f>
        <v/>
      </c>
      <c r="M11" s="4" t="inlineStr">
        <is>
          <t>Sustainability &amp; packaging reduction, Subscription flexibility &amp; customization, Budget meal planning tips</t>
        </is>
      </c>
      <c r="N11" s="4" t="inlineStr">
        <is>
          <t>Irrelevant seasonal messaging, Generic 'healthy eating' messaging</t>
        </is>
      </c>
      <c r="O11" s="4" t="inlineStr">
        <is>
          <t>Test partnership with micro-influencers in target DMA</t>
        </is>
      </c>
    </row>
    <row r="12">
      <c r="A12" s="2" t="inlineStr">
        <is>
          <t>Q3</t>
        </is>
      </c>
      <c r="B12" s="2" t="inlineStr">
        <is>
          <t>Health-Conscious Professional</t>
        </is>
      </c>
      <c r="C12" s="2" t="inlineStr">
        <is>
          <t>YouTube</t>
        </is>
      </c>
      <c r="D12" s="3">
        <f>9911.05</f>
        <v/>
      </c>
      <c r="E12" s="3" t="n">
        <v>145117</v>
      </c>
      <c r="F12" s="3" t="n">
        <v>3577</v>
      </c>
      <c r="G12" s="3" t="n">
        <v>392</v>
      </c>
      <c r="H12" s="3">
        <f>ROUND(10.95890410958904,2)</f>
        <v/>
      </c>
      <c r="I12" s="3">
        <f>21.69</f>
        <v/>
      </c>
      <c r="J12" s="3">
        <f>177.76</f>
        <v/>
      </c>
      <c r="K12" s="3">
        <f>ROUND(J12/I12,2)</f>
        <v/>
      </c>
      <c r="L12" s="3">
        <f>ROUND(82,1)</f>
        <v/>
      </c>
      <c r="M12" s="2" t="inlineStr">
        <is>
          <t>Subscription flexibility &amp; customization, Premium gifting &amp; special occasions, Organic certification &amp; nutritional transparency</t>
        </is>
      </c>
      <c r="N12" s="2" t="inlineStr">
        <is>
          <t>Irrelevant seasonal messaging, Environmental guilt-based appeals</t>
        </is>
      </c>
      <c r="O12" s="2" t="inlineStr">
        <is>
          <t>Expand audience lookalikes from top 20% LTV cohort</t>
        </is>
      </c>
    </row>
    <row r="13">
      <c r="A13" s="4" t="inlineStr">
        <is>
          <t>Q3</t>
        </is>
      </c>
      <c r="B13" s="4" t="inlineStr">
        <is>
          <t>Eco-Minded Family</t>
        </is>
      </c>
      <c r="C13" s="4" t="inlineStr">
        <is>
          <t>YouTube</t>
        </is>
      </c>
      <c r="D13" s="5">
        <f>15001.41</f>
        <v/>
      </c>
      <c r="E13" s="5" t="n">
        <v>166635</v>
      </c>
      <c r="F13" s="5" t="n">
        <v>6934</v>
      </c>
      <c r="G13" s="5" t="n">
        <v>601</v>
      </c>
      <c r="H13" s="5">
        <f>ROUND(8.667435823478511,2)</f>
        <v/>
      </c>
      <c r="I13" s="5">
        <f>24.51</f>
        <v/>
      </c>
      <c r="J13" s="5">
        <f>205.30</f>
        <v/>
      </c>
      <c r="K13" s="5">
        <f>ROUND(J13/I13,2)</f>
        <v/>
      </c>
      <c r="L13" s="5">
        <f>ROUND(78,1)</f>
        <v/>
      </c>
      <c r="M13" s="4" t="inlineStr">
        <is>
          <t>Local sourcing &amp; farmer support, Organic certification &amp; nutritional transparency, Health benefits &amp; wellness claims</t>
        </is>
      </c>
      <c r="N13" s="4" t="inlineStr">
        <is>
          <t>Environmental guilt-based appeals, Generic 'healthy eating' messaging</t>
        </is>
      </c>
      <c r="O13" s="4" t="inlineStr">
        <is>
          <t>Test regional messaging variations (urban vs. suburban)</t>
        </is>
      </c>
    </row>
    <row r="14">
      <c r="A14" s="2" t="inlineStr">
        <is>
          <t>Q3</t>
        </is>
      </c>
      <c r="B14" s="2" t="inlineStr">
        <is>
          <t>Fitness Enthusiast</t>
        </is>
      </c>
      <c r="C14" s="2" t="inlineStr">
        <is>
          <t>Meta</t>
        </is>
      </c>
      <c r="D14" s="3">
        <f>12089.75</f>
        <v/>
      </c>
      <c r="E14" s="3" t="n">
        <v>198573</v>
      </c>
      <c r="F14" s="3" t="n">
        <v>9902</v>
      </c>
      <c r="G14" s="3" t="n">
        <v>1145</v>
      </c>
      <c r="H14" s="3">
        <f>ROUND(11.563320541304787,2)</f>
        <v/>
      </c>
      <c r="I14" s="3">
        <f>18.00</f>
        <v/>
      </c>
      <c r="J14" s="3">
        <f>203.43</f>
        <v/>
      </c>
      <c r="K14" s="3">
        <f>ROUND(J14/I14,2)</f>
        <v/>
      </c>
      <c r="L14" s="3">
        <f>ROUND(73,1)</f>
        <v/>
      </c>
      <c r="M14" s="2" t="inlineStr">
        <is>
          <t>Organic certification &amp; nutritional transparency, Subscription flexibility &amp; customization, Family meal prep convenience &amp; time savings</t>
        </is>
      </c>
      <c r="N14" s="2" t="inlineStr">
        <is>
          <t>Excessive promotional frequency, Environmental guilt-based appeals</t>
        </is>
      </c>
      <c r="O14" s="2" t="inlineStr">
        <is>
          <t>Test partnership with micro-influencers in target DMA</t>
        </is>
      </c>
    </row>
    <row r="15">
      <c r="A15" s="4" t="inlineStr">
        <is>
          <t>Q3</t>
        </is>
      </c>
      <c r="B15" s="4" t="inlineStr">
        <is>
          <t>Lapsed Subscriber</t>
        </is>
      </c>
      <c r="C15" s="4" t="inlineStr">
        <is>
          <t>YouTube</t>
        </is>
      </c>
      <c r="D15" s="5">
        <f>13908.91</f>
        <v/>
      </c>
      <c r="E15" s="5" t="n">
        <v>131209</v>
      </c>
      <c r="F15" s="5" t="n">
        <v>4393</v>
      </c>
      <c r="G15" s="5" t="n">
        <v>249</v>
      </c>
      <c r="H15" s="5">
        <f>ROUND(5.668108354199863,2)</f>
        <v/>
      </c>
      <c r="I15" s="5">
        <f>33.94</f>
        <v/>
      </c>
      <c r="J15" s="5">
        <f>139.53</f>
        <v/>
      </c>
      <c r="K15" s="5">
        <f>ROUND(J15/I15,2)</f>
        <v/>
      </c>
      <c r="L15" s="5">
        <f>ROUND(62,1)</f>
        <v/>
      </c>
      <c r="M15" s="4" t="inlineStr">
        <is>
          <t>Recipe diversity &amp; culinary exploration, Family meal prep convenience &amp; time savings, Sustainability &amp; packaging reduction</t>
        </is>
      </c>
      <c r="N15" s="4" t="inlineStr">
        <is>
          <t>Generic 'healthy eating' messaging, Irrelevant seasonal messaging</t>
        </is>
      </c>
      <c r="O15" s="4" t="inlineStr">
        <is>
          <t>Implement dynamic creative optimization for audience segments</t>
        </is>
      </c>
    </row>
    <row r="16">
      <c r="A16" s="2" t="inlineStr">
        <is>
          <t>Q3</t>
        </is>
      </c>
      <c r="B16" s="2" t="inlineStr">
        <is>
          <t>Gift Purchaser</t>
        </is>
      </c>
      <c r="C16" s="2" t="inlineStr">
        <is>
          <t>Meta</t>
        </is>
      </c>
      <c r="D16" s="3">
        <f>17818.16</f>
        <v/>
      </c>
      <c r="E16" s="3" t="n">
        <v>183754</v>
      </c>
      <c r="F16" s="3" t="n">
        <v>10053</v>
      </c>
      <c r="G16" s="3" t="n">
        <v>670</v>
      </c>
      <c r="H16" s="3">
        <f>ROUND(6.66467721078285,2)</f>
        <v/>
      </c>
      <c r="I16" s="3">
        <f>29.30</f>
        <v/>
      </c>
      <c r="J16" s="3">
        <f>116.88</f>
        <v/>
      </c>
      <c r="K16" s="3">
        <f>ROUND(J16/I16,2)</f>
        <v/>
      </c>
      <c r="L16" s="3">
        <f>ROUND(73,1)</f>
        <v/>
      </c>
      <c r="M16" s="2" t="inlineStr">
        <is>
          <t>Recipe diversity &amp; culinary exploration, Performance nutrition &amp; recovery benefits, Budget meal planning tips</t>
        </is>
      </c>
      <c r="N16" s="2" t="inlineStr">
        <is>
          <t>Outdated influencer partnerships, Product-only focus without lifestyle context</t>
        </is>
      </c>
      <c r="O16" s="2" t="inlineStr">
        <is>
          <t>Implement post-purchase follow-up campaign within 48 hours</t>
        </is>
      </c>
    </row>
    <row r="17">
      <c r="A17" s="4" t="inlineStr">
        <is>
          <t>Q4</t>
        </is>
      </c>
      <c r="B17" s="4" t="inlineStr">
        <is>
          <t>Health-Conscious Professional</t>
        </is>
      </c>
      <c r="C17" s="4" t="inlineStr">
        <is>
          <t>YouTube</t>
        </is>
      </c>
      <c r="D17" s="5">
        <f>13991.16</f>
        <v/>
      </c>
      <c r="E17" s="5" t="n">
        <v>199712</v>
      </c>
      <c r="F17" s="5" t="n">
        <v>13916</v>
      </c>
      <c r="G17" s="5" t="n">
        <v>1434</v>
      </c>
      <c r="H17" s="5">
        <f>ROUND(10.304685254383443,2)</f>
        <v/>
      </c>
      <c r="I17" s="5">
        <f>20.26</f>
        <v/>
      </c>
      <c r="J17" s="5">
        <f>178.52</f>
        <v/>
      </c>
      <c r="K17" s="5">
        <f>ROUND(J17/I17,2)</f>
        <v/>
      </c>
      <c r="L17" s="5">
        <f>ROUND(77,1)</f>
        <v/>
      </c>
      <c r="M17" s="4" t="inlineStr">
        <is>
          <t>Recipe diversity &amp; culinary exploration, Subscription flexibility &amp; customization, Organic certification &amp; nutritional transparency</t>
        </is>
      </c>
      <c r="N17" s="4" t="inlineStr">
        <is>
          <t>Excessive promotional frequency, One-size-fits-all campaign creative</t>
        </is>
      </c>
      <c r="O17" s="4" t="inlineStr">
        <is>
          <t>Implement dynamic creative optimization for audience segments</t>
        </is>
      </c>
    </row>
    <row r="18">
      <c r="A18" s="2" t="inlineStr">
        <is>
          <t>Q4</t>
        </is>
      </c>
      <c r="B18" s="2" t="inlineStr">
        <is>
          <t>Eco-Minded Family</t>
        </is>
      </c>
      <c r="C18" s="2" t="inlineStr">
        <is>
          <t>Meta</t>
        </is>
      </c>
      <c r="D18" s="3">
        <f>13089.09</f>
        <v/>
      </c>
      <c r="E18" s="3" t="n">
        <v>142951</v>
      </c>
      <c r="F18" s="3" t="n">
        <v>4515</v>
      </c>
      <c r="G18" s="3" t="n">
        <v>374</v>
      </c>
      <c r="H18" s="3">
        <f>ROUND(8.283499446290143,2)</f>
        <v/>
      </c>
      <c r="I18" s="3">
        <f>22.62</f>
        <v/>
      </c>
      <c r="J18" s="3">
        <f>202.38</f>
        <v/>
      </c>
      <c r="K18" s="3">
        <f>ROUND(J18/I18,2)</f>
        <v/>
      </c>
      <c r="L18" s="3">
        <f>ROUND(80,1)</f>
        <v/>
      </c>
      <c r="M18" s="2" t="inlineStr">
        <is>
          <t>Recipe diversity &amp; culinary exploration, Organic certification &amp; nutritional transparency, Local sourcing &amp; farmer support</t>
        </is>
      </c>
      <c r="N18" s="2" t="inlineStr">
        <is>
          <t>Environmental guilt-based appeals, Overly technical nutrition language</t>
        </is>
      </c>
      <c r="O18" s="2" t="inlineStr">
        <is>
          <t>Develop gift-specific landing page with corporate messaging</t>
        </is>
      </c>
    </row>
    <row r="19">
      <c r="A19" s="4" t="inlineStr">
        <is>
          <t>Q4</t>
        </is>
      </c>
      <c r="B19" s="4" t="inlineStr">
        <is>
          <t>Fitness Enthusiast</t>
        </is>
      </c>
      <c r="C19" s="4" t="inlineStr">
        <is>
          <t>Google Search</t>
        </is>
      </c>
      <c r="D19" s="5">
        <f>13068.50</f>
        <v/>
      </c>
      <c r="E19" s="5" t="n">
        <v>190599</v>
      </c>
      <c r="F19" s="5" t="n">
        <v>9461</v>
      </c>
      <c r="G19" s="5" t="n">
        <v>968</v>
      </c>
      <c r="H19" s="5">
        <f>ROUND(10.23147658809851,2)</f>
        <v/>
      </c>
      <c r="I19" s="5">
        <f>17.42</f>
        <v/>
      </c>
      <c r="J19" s="5">
        <f>181.85</f>
        <v/>
      </c>
      <c r="K19" s="5">
        <f>ROUND(J19/I19,2)</f>
        <v/>
      </c>
      <c r="L19" s="5">
        <f>ROUND(63,1)</f>
        <v/>
      </c>
      <c r="M19" s="4" t="inlineStr">
        <is>
          <t>Budget meal planning tips, Health benefits &amp; wellness claims, Family meal prep convenience &amp; time savings</t>
        </is>
      </c>
      <c r="N19" s="4" t="inlineStr">
        <is>
          <t>Overly technical nutrition language, Irrelevant seasonal messaging</t>
        </is>
      </c>
      <c r="O19" s="4" t="inlineStr">
        <is>
          <t>Expand audience lookalikes from top 20% LTV cohort</t>
        </is>
      </c>
    </row>
    <row r="20">
      <c r="A20" s="2" t="inlineStr">
        <is>
          <t>Q4</t>
        </is>
      </c>
      <c r="B20" s="2" t="inlineStr">
        <is>
          <t>Lapsed Subscriber</t>
        </is>
      </c>
      <c r="C20" s="2" t="inlineStr">
        <is>
          <t>TikTok</t>
        </is>
      </c>
      <c r="D20" s="3">
        <f>10117.96</f>
        <v/>
      </c>
      <c r="E20" s="3" t="n">
        <v>87996</v>
      </c>
      <c r="F20" s="3" t="n">
        <v>3964</v>
      </c>
      <c r="G20" s="3" t="n">
        <v>220</v>
      </c>
      <c r="H20" s="3">
        <f>ROUND(5.549949545913218,2)</f>
        <v/>
      </c>
      <c r="I20" s="3">
        <f>37.61</f>
        <v/>
      </c>
      <c r="J20" s="3">
        <f>140.36</f>
        <v/>
      </c>
      <c r="K20" s="3">
        <f>ROUND(J20/I20,2)</f>
        <v/>
      </c>
      <c r="L20" s="3">
        <f>ROUND(75,1)</f>
        <v/>
      </c>
      <c r="M20" s="2" t="inlineStr">
        <is>
          <t>Sustainability &amp; packaging reduction, Family meal prep convenience &amp; time savings, Premium gifting &amp; special occasions</t>
        </is>
      </c>
      <c r="N20" s="2" t="inlineStr">
        <is>
          <t>Outdated influencer partnerships, Assumptive family size messaging</t>
        </is>
      </c>
      <c r="O20" s="2" t="inlineStr">
        <is>
          <t>Test partnership with micro-influencers in target DMA</t>
        </is>
      </c>
    </row>
    <row r="21">
      <c r="A21" s="4" t="inlineStr">
        <is>
          <t>Q4</t>
        </is>
      </c>
      <c r="B21" s="4" t="inlineStr">
        <is>
          <t>Gift Purchaser</t>
        </is>
      </c>
      <c r="C21" s="4" t="inlineStr">
        <is>
          <t>Meta</t>
        </is>
      </c>
      <c r="D21" s="5">
        <f>9128.54</f>
        <v/>
      </c>
      <c r="E21" s="5" t="n">
        <v>87187</v>
      </c>
      <c r="F21" s="5" t="n">
        <v>5967</v>
      </c>
      <c r="G21" s="5" t="n">
        <v>403</v>
      </c>
      <c r="H21" s="5">
        <f>ROUND(6.753812636165578,2)</f>
        <v/>
      </c>
      <c r="I21" s="5">
        <f>29.37</f>
        <v/>
      </c>
      <c r="J21" s="5">
        <f>131.93</f>
        <v/>
      </c>
      <c r="K21" s="5">
        <f>ROUND(J21/I21,2)</f>
        <v/>
      </c>
      <c r="L21" s="5">
        <f>ROUND(72,1)</f>
        <v/>
      </c>
      <c r="M21" s="4" t="inlineStr">
        <is>
          <t>Local sourcing &amp; farmer support, Sustainability &amp; packaging reduction, Performance nutrition &amp; recovery benefits</t>
        </is>
      </c>
      <c r="N21" s="4" t="inlineStr">
        <is>
          <t>Assumptive family size messaging, Price-focused promotions (alienates affluent segments)</t>
        </is>
      </c>
      <c r="O21" s="4" t="inlineStr">
        <is>
          <t>Test regional messaging variations (urban vs. suburban)</t>
        </is>
      </c>
    </row>
    <row r="22">
      <c r="B22" t="inlineStr">
        <is>
          <t>TOTAL</t>
        </is>
      </c>
      <c r="D22">
        <f>SUM(D2:D21)</f>
        <v/>
      </c>
      <c r="E22">
        <f>SUM(E2:E21)</f>
        <v/>
      </c>
      <c r="F22">
        <f>SUM(F2:F21)</f>
        <v/>
      </c>
      <c r="G22">
        <f>SUM(G2:G21)</f>
        <v/>
      </c>
      <c r="H22">
        <f>ROUND(AVERAGE(H2:H21),2)</f>
        <v/>
      </c>
      <c r="I22">
        <f>ROUND(AVERAGE(I2:I21),2)</f>
        <v/>
      </c>
      <c r="J22">
        <f>ROUND(AVERAGE(J2:J21),2)</f>
        <v/>
      </c>
      <c r="K22">
        <f>ROUND(AVERAGE(K2:K21),2)</f>
        <v/>
      </c>
      <c r="L22">
        <f>ROUND(AVERAGE(L2:L21),2)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28" customWidth="1" min="7" max="7"/>
    <col width="13" customWidth="1" min="8" max="8"/>
    <col width="13" customWidth="1" min="9" max="9"/>
    <col width="13" customWidth="1" min="10" max="10"/>
    <col width="40" customWidth="1" min="11" max="11"/>
  </cols>
  <sheetData>
    <row r="1">
      <c r="A1" s="1" t="inlineStr">
        <is>
          <t>Week</t>
        </is>
      </c>
      <c r="B1" s="1" t="inlineStr">
        <is>
          <t>Competitor</t>
        </is>
      </c>
      <c r="C1" s="1" t="inlineStr">
        <is>
          <t>New Promotion Observed (Y/N)</t>
        </is>
      </c>
      <c r="D1" s="1" t="inlineStr">
        <is>
          <t>Promo Description</t>
        </is>
      </c>
      <c r="E1" s="1" t="inlineStr">
        <is>
          <t>Observed CPC Increase (Y/N)</t>
        </is>
      </c>
      <c r="F1" s="1" t="inlineStr">
        <is>
          <t>Estimated Impression Share (%)</t>
        </is>
      </c>
      <c r="G1" s="1" t="inlineStr">
        <is>
          <t>New Ad Format Used</t>
        </is>
      </c>
      <c r="H1" s="1" t="inlineStr">
        <is>
          <t>Pricing Change Noted</t>
        </is>
      </c>
      <c r="I1" s="1" t="inlineStr">
        <is>
          <t>Social Engagement Score</t>
        </is>
      </c>
      <c r="J1" s="1" t="inlineStr">
        <is>
          <t>GreenLeaf Auction Overlap (%)</t>
        </is>
      </c>
      <c r="K1" s="1" t="inlineStr">
        <is>
          <t>Strategic Implication</t>
        </is>
      </c>
    </row>
    <row r="2">
      <c r="A2" s="2" t="inlineStr">
        <is>
          <t>W1</t>
        </is>
      </c>
      <c r="B2" s="2" t="inlineStr">
        <is>
          <t>HelloFresh CH</t>
        </is>
      </c>
      <c r="C2" s="2" t="inlineStr">
        <is>
          <t>N</t>
        </is>
      </c>
      <c r="D2" s="2" t="inlineStr"/>
      <c r="E2" s="3" t="inlineStr">
        <is>
          <t>Y</t>
        </is>
      </c>
      <c r="F2" s="3" t="n">
        <v>23.7</v>
      </c>
      <c r="G2" s="2" t="inlineStr"/>
      <c r="H2" s="3" t="inlineStr">
        <is>
          <t>N</t>
        </is>
      </c>
      <c r="I2" s="3" t="n">
        <v>73.5</v>
      </c>
      <c r="J2" s="3" t="n">
        <v>34.3</v>
      </c>
      <c r="K2" s="2" t="inlineStr">
        <is>
          <t>Promotion fatigue potential in market; emphasize quality over price</t>
        </is>
      </c>
    </row>
    <row r="3">
      <c r="A3" s="4" t="inlineStr">
        <is>
          <t>W1</t>
        </is>
      </c>
      <c r="B3" s="4" t="inlineStr">
        <is>
          <t>Marley Spoon</t>
        </is>
      </c>
      <c r="C3" s="4" t="inlineStr">
        <is>
          <t>N</t>
        </is>
      </c>
      <c r="D3" s="4" t="inlineStr"/>
      <c r="E3" s="5" t="inlineStr">
        <is>
          <t>N</t>
        </is>
      </c>
      <c r="F3" s="5" t="n">
        <v>16.8</v>
      </c>
      <c r="G3" s="4" t="inlineStr"/>
      <c r="H3" s="5" t="inlineStr">
        <is>
          <t>N</t>
        </is>
      </c>
      <c r="I3" s="5" t="n">
        <v>70.40000000000001</v>
      </c>
      <c r="J3" s="5" t="n">
        <v>15.3</v>
      </c>
      <c r="K3" s="4" t="inlineStr">
        <is>
          <t>New partnership threat; accelerate influencer program</t>
        </is>
      </c>
    </row>
    <row r="4">
      <c r="A4" s="2" t="inlineStr">
        <is>
          <t>W1</t>
        </is>
      </c>
      <c r="B4" s="2" t="inlineStr">
        <is>
          <t>Farmy</t>
        </is>
      </c>
      <c r="C4" s="2" t="inlineStr">
        <is>
          <t>Y</t>
        </is>
      </c>
      <c r="D4" s="2" t="inlineStr">
        <is>
          <t>First box 50% off for new subscribers</t>
        </is>
      </c>
      <c r="E4" s="3" t="inlineStr">
        <is>
          <t>N</t>
        </is>
      </c>
      <c r="F4" s="3" t="n">
        <v>38.5</v>
      </c>
      <c r="G4" s="2" t="inlineStr"/>
      <c r="H4" s="3" t="inlineStr">
        <is>
          <t>N</t>
        </is>
      </c>
      <c r="I4" s="3" t="n">
        <v>39.9</v>
      </c>
      <c r="J4" s="3" t="n">
        <v>41.8</v>
      </c>
      <c r="K4" s="2" t="inlineStr">
        <is>
          <t>New audience segment activation; monitor LTV implications</t>
        </is>
      </c>
    </row>
    <row r="5">
      <c r="A5" s="4" t="inlineStr">
        <is>
          <t>W1</t>
        </is>
      </c>
      <c r="B5" s="4" t="inlineStr">
        <is>
          <t>Alnatura Online</t>
        </is>
      </c>
      <c r="C5" s="4" t="inlineStr">
        <is>
          <t>Y</t>
        </is>
      </c>
      <c r="D5" s="4" t="inlineStr">
        <is>
          <t>Corporate gifting bulk discount</t>
        </is>
      </c>
      <c r="E5" s="5" t="inlineStr">
        <is>
          <t>Y</t>
        </is>
      </c>
      <c r="F5" s="5" t="n">
        <v>9.1</v>
      </c>
      <c r="G5" s="4" t="inlineStr"/>
      <c r="H5" s="5" t="inlineStr">
        <is>
          <t>N</t>
        </is>
      </c>
      <c r="I5" s="5" t="n">
        <v>24.1</v>
      </c>
      <c r="J5" s="5" t="n">
        <v>68.7</v>
      </c>
      <c r="K5" s="4" t="inlineStr">
        <is>
          <t>Competitor weakness in retention; reinforce loyalty messaging</t>
        </is>
      </c>
    </row>
    <row r="6">
      <c r="A6" s="2" t="inlineStr">
        <is>
          <t>W1</t>
        </is>
      </c>
      <c r="B6" s="2" t="inlineStr">
        <is>
          <t>Bio Partner</t>
        </is>
      </c>
      <c r="C6" s="2" t="inlineStr">
        <is>
          <t>N</t>
        </is>
      </c>
      <c r="D6" s="2" t="inlineStr"/>
      <c r="E6" s="3" t="inlineStr">
        <is>
          <t>Y</t>
        </is>
      </c>
      <c r="F6" s="3" t="n">
        <v>12.5</v>
      </c>
      <c r="G6" s="2" t="inlineStr"/>
      <c r="H6" s="3" t="inlineStr">
        <is>
          <t>N</t>
        </is>
      </c>
      <c r="I6" s="3" t="n">
        <v>27.7</v>
      </c>
      <c r="J6" s="3" t="n">
        <v>78.5</v>
      </c>
      <c r="K6" s="2" t="inlineStr">
        <is>
          <t>Competitor weakness in retention; reinforce loyalty messaging</t>
        </is>
      </c>
    </row>
    <row r="7">
      <c r="A7" s="4" t="inlineStr">
        <is>
          <t>W2</t>
        </is>
      </c>
      <c r="B7" s="4" t="inlineStr">
        <is>
          <t>HelloFresh CH</t>
        </is>
      </c>
      <c r="C7" s="4" t="inlineStr">
        <is>
          <t>N</t>
        </is>
      </c>
      <c r="D7" s="4" t="inlineStr"/>
      <c r="E7" s="5" t="inlineStr">
        <is>
          <t>N</t>
        </is>
      </c>
      <c r="F7" s="5" t="n">
        <v>44.7</v>
      </c>
      <c r="G7" s="4" t="inlineStr">
        <is>
          <t>YouTube Shorts with countdown timer</t>
        </is>
      </c>
      <c r="H7" s="5" t="inlineStr">
        <is>
          <t>Y</t>
        </is>
      </c>
      <c r="I7" s="5" t="n">
        <v>72.2</v>
      </c>
      <c r="J7" s="5" t="n">
        <v>55.8</v>
      </c>
      <c r="K7" s="4" t="inlineStr">
        <is>
          <t>Budget concentration in specific channel; diversify spend</t>
        </is>
      </c>
    </row>
    <row r="8">
      <c r="A8" s="2" t="inlineStr">
        <is>
          <t>W2</t>
        </is>
      </c>
      <c r="B8" s="2" t="inlineStr">
        <is>
          <t>Marley Spoon</t>
        </is>
      </c>
      <c r="C8" s="2" t="inlineStr">
        <is>
          <t>Y</t>
        </is>
      </c>
      <c r="D8" s="2" t="inlineStr">
        <is>
          <t>Partnership promotion with fitness brand</t>
        </is>
      </c>
      <c r="E8" s="3" t="inlineStr">
        <is>
          <t>Y</t>
        </is>
      </c>
      <c r="F8" s="3" t="n">
        <v>10.1</v>
      </c>
      <c r="G8" s="2" t="inlineStr"/>
      <c r="H8" s="3" t="inlineStr">
        <is>
          <t>Y</t>
        </is>
      </c>
      <c r="I8" s="3" t="n">
        <v>80.7</v>
      </c>
      <c r="J8" s="3" t="n">
        <v>75.5</v>
      </c>
      <c r="K8" s="2" t="inlineStr">
        <is>
          <t>Format innovation detected; test similar approach next quarter</t>
        </is>
      </c>
    </row>
    <row r="9">
      <c r="A9" s="4" t="inlineStr">
        <is>
          <t>W2</t>
        </is>
      </c>
      <c r="B9" s="4" t="inlineStr">
        <is>
          <t>Farmy</t>
        </is>
      </c>
      <c r="C9" s="4" t="inlineStr">
        <is>
          <t>N</t>
        </is>
      </c>
      <c r="D9" s="4" t="inlineStr"/>
      <c r="E9" s="5" t="inlineStr">
        <is>
          <t>Y</t>
        </is>
      </c>
      <c r="F9" s="5" t="n">
        <v>26.7</v>
      </c>
      <c r="G9" s="4" t="inlineStr">
        <is>
          <t>Snapchat AR lens filter</t>
        </is>
      </c>
      <c r="H9" s="5" t="inlineStr">
        <is>
          <t>N</t>
        </is>
      </c>
      <c r="I9" s="5" t="n">
        <v>32.5</v>
      </c>
      <c r="J9" s="5" t="n">
        <v>31.9</v>
      </c>
      <c r="K9" s="4" t="inlineStr">
        <is>
          <t>Audience overlap high; differentiate on brand values</t>
        </is>
      </c>
    </row>
    <row r="10">
      <c r="A10" s="2" t="inlineStr">
        <is>
          <t>W2</t>
        </is>
      </c>
      <c r="B10" s="2" t="inlineStr">
        <is>
          <t>Alnatura Online</t>
        </is>
      </c>
      <c r="C10" s="2" t="inlineStr">
        <is>
          <t>N</t>
        </is>
      </c>
      <c r="D10" s="2" t="inlineStr"/>
      <c r="E10" s="3" t="inlineStr">
        <is>
          <t>Y</t>
        </is>
      </c>
      <c r="F10" s="3" t="n">
        <v>31.6</v>
      </c>
      <c r="G10" s="2" t="inlineStr"/>
      <c r="H10" s="3" t="inlineStr">
        <is>
          <t>N</t>
        </is>
      </c>
      <c r="I10" s="3" t="n">
        <v>23</v>
      </c>
      <c r="J10" s="3" t="n">
        <v>55.5</v>
      </c>
      <c r="K10" s="2" t="inlineStr">
        <is>
          <t>Competitor pricing pressure; consider bundle repositioning</t>
        </is>
      </c>
    </row>
    <row r="11">
      <c r="A11" s="4" t="inlineStr">
        <is>
          <t>W2</t>
        </is>
      </c>
      <c r="B11" s="4" t="inlineStr">
        <is>
          <t>Bio Partner</t>
        </is>
      </c>
      <c r="C11" s="4" t="inlineStr">
        <is>
          <t>N</t>
        </is>
      </c>
      <c r="D11" s="4" t="inlineStr"/>
      <c r="E11" s="5" t="inlineStr">
        <is>
          <t>Y</t>
        </is>
      </c>
      <c r="F11" s="5" t="n">
        <v>18.9</v>
      </c>
      <c r="G11" s="4" t="inlineStr"/>
      <c r="H11" s="5" t="inlineStr">
        <is>
          <t>N</t>
        </is>
      </c>
      <c r="I11" s="5" t="n">
        <v>86.3</v>
      </c>
      <c r="J11" s="5" t="n">
        <v>32.6</v>
      </c>
      <c r="K11" s="4" t="inlineStr">
        <is>
          <t>Competitor pricing pressure; consider bundle repositioning</t>
        </is>
      </c>
    </row>
    <row r="12">
      <c r="A12" s="2" t="inlineStr">
        <is>
          <t>W3</t>
        </is>
      </c>
      <c r="B12" s="2" t="inlineStr">
        <is>
          <t>HelloFresh CH</t>
        </is>
      </c>
      <c r="C12" s="2" t="inlineStr">
        <is>
          <t>Y</t>
        </is>
      </c>
      <c r="D12" s="2" t="inlineStr">
        <is>
          <t>Family meal combo pricing</t>
        </is>
      </c>
      <c r="E12" s="3" t="inlineStr">
        <is>
          <t>N</t>
        </is>
      </c>
      <c r="F12" s="3" t="n">
        <v>13.1</v>
      </c>
      <c r="G12" s="2" t="inlineStr"/>
      <c r="H12" s="3" t="inlineStr">
        <is>
          <t>N</t>
        </is>
      </c>
      <c r="I12" s="3" t="n">
        <v>19.1</v>
      </c>
      <c r="J12" s="3" t="n">
        <v>26.4</v>
      </c>
      <c r="K12" s="2" t="inlineStr">
        <is>
          <t>Budget concentration in specific channel; diversify spend</t>
        </is>
      </c>
    </row>
    <row r="13">
      <c r="A13" s="4" t="inlineStr">
        <is>
          <t>W3</t>
        </is>
      </c>
      <c r="B13" s="4" t="inlineStr">
        <is>
          <t>Marley Spoon</t>
        </is>
      </c>
      <c r="C13" s="4" t="inlineStr">
        <is>
          <t>Y</t>
        </is>
      </c>
      <c r="D13" s="4" t="inlineStr">
        <is>
          <t>Partnership promotion with fitness brand</t>
        </is>
      </c>
      <c r="E13" s="5" t="inlineStr">
        <is>
          <t>N</t>
        </is>
      </c>
      <c r="F13" s="5" t="n">
        <v>35.2</v>
      </c>
      <c r="G13" s="4" t="inlineStr"/>
      <c r="H13" s="5" t="inlineStr">
        <is>
          <t>N</t>
        </is>
      </c>
      <c r="I13" s="5" t="n">
        <v>77.09999999999999</v>
      </c>
      <c r="J13" s="5" t="n">
        <v>18.6</v>
      </c>
      <c r="K13" s="4" t="inlineStr">
        <is>
          <t>CPC inflation indicates increased budget allocation; optimize targeting</t>
        </is>
      </c>
    </row>
    <row r="14">
      <c r="A14" s="2" t="inlineStr">
        <is>
          <t>W3</t>
        </is>
      </c>
      <c r="B14" s="2" t="inlineStr">
        <is>
          <t>Farmy</t>
        </is>
      </c>
      <c r="C14" s="2" t="inlineStr">
        <is>
          <t>Y</t>
        </is>
      </c>
      <c r="D14" s="2" t="inlineStr">
        <is>
          <t>Free shipping on orders over CHF 100</t>
        </is>
      </c>
      <c r="E14" s="3" t="inlineStr">
        <is>
          <t>N</t>
        </is>
      </c>
      <c r="F14" s="3" t="n">
        <v>41.4</v>
      </c>
      <c r="G14" s="2" t="inlineStr"/>
      <c r="H14" s="3" t="inlineStr">
        <is>
          <t>N</t>
        </is>
      </c>
      <c r="I14" s="3" t="n">
        <v>90.40000000000001</v>
      </c>
      <c r="J14" s="3" t="n">
        <v>43.5</v>
      </c>
      <c r="K14" s="2" t="inlineStr">
        <is>
          <t>New partnership threat; accelerate influencer program</t>
        </is>
      </c>
    </row>
    <row r="15">
      <c r="A15" s="4" t="inlineStr">
        <is>
          <t>W3</t>
        </is>
      </c>
      <c r="B15" s="4" t="inlineStr">
        <is>
          <t>Alnatura Online</t>
        </is>
      </c>
      <c r="C15" s="4" t="inlineStr">
        <is>
          <t>N</t>
        </is>
      </c>
      <c r="D15" s="4" t="inlineStr"/>
      <c r="E15" s="5" t="inlineStr">
        <is>
          <t>Y</t>
        </is>
      </c>
      <c r="F15" s="5" t="n">
        <v>17.9</v>
      </c>
      <c r="G15" s="4" t="inlineStr"/>
      <c r="H15" s="5" t="inlineStr">
        <is>
          <t>Y</t>
        </is>
      </c>
      <c r="I15" s="5" t="n">
        <v>75.3</v>
      </c>
      <c r="J15" s="5" t="n">
        <v>60</v>
      </c>
      <c r="K15" s="4" t="inlineStr">
        <is>
          <t>New audience segment activation; monitor LTV implications</t>
        </is>
      </c>
    </row>
    <row r="16">
      <c r="A16" s="2" t="inlineStr">
        <is>
          <t>W3</t>
        </is>
      </c>
      <c r="B16" s="2" t="inlineStr">
        <is>
          <t>Bio Partner</t>
        </is>
      </c>
      <c r="C16" s="2" t="inlineStr">
        <is>
          <t>N</t>
        </is>
      </c>
      <c r="D16" s="2" t="inlineStr"/>
      <c r="E16" s="3" t="inlineStr">
        <is>
          <t>Y</t>
        </is>
      </c>
      <c r="F16" s="3" t="n">
        <v>26</v>
      </c>
      <c r="G16" s="2" t="inlineStr">
        <is>
          <t>LinkedIn carousel for B2B2C</t>
        </is>
      </c>
      <c r="H16" s="3" t="inlineStr">
        <is>
          <t>Y</t>
        </is>
      </c>
      <c r="I16" s="3" t="n">
        <v>51.8</v>
      </c>
      <c r="J16" s="3" t="n">
        <v>42.3</v>
      </c>
      <c r="K16" s="2" t="inlineStr">
        <is>
          <t>Competitor weakness in retention; reinforce loyalty messaging</t>
        </is>
      </c>
    </row>
    <row r="17">
      <c r="A17" s="4" t="inlineStr">
        <is>
          <t>W4</t>
        </is>
      </c>
      <c r="B17" s="4" t="inlineStr">
        <is>
          <t>HelloFresh CH</t>
        </is>
      </c>
      <c r="C17" s="4" t="inlineStr">
        <is>
          <t>Y</t>
        </is>
      </c>
      <c r="D17" s="4" t="inlineStr">
        <is>
          <t>Loyalty program launch</t>
        </is>
      </c>
      <c r="E17" s="5" t="inlineStr">
        <is>
          <t>N</t>
        </is>
      </c>
      <c r="F17" s="5" t="n">
        <v>39</v>
      </c>
      <c r="G17" s="4" t="inlineStr"/>
      <c r="H17" s="5" t="inlineStr">
        <is>
          <t>N</t>
        </is>
      </c>
      <c r="I17" s="5" t="n">
        <v>78</v>
      </c>
      <c r="J17" s="5" t="n">
        <v>39.5</v>
      </c>
      <c r="K17" s="4" t="inlineStr">
        <is>
          <t>Budget concentration in specific channel; diversify spend</t>
        </is>
      </c>
    </row>
    <row r="18">
      <c r="A18" s="2" t="inlineStr">
        <is>
          <t>W4</t>
        </is>
      </c>
      <c r="B18" s="2" t="inlineStr">
        <is>
          <t>Marley Spoon</t>
        </is>
      </c>
      <c r="C18" s="2" t="inlineStr">
        <is>
          <t>N</t>
        </is>
      </c>
      <c r="D18" s="2" t="inlineStr"/>
      <c r="E18" s="3" t="inlineStr">
        <is>
          <t>N</t>
        </is>
      </c>
      <c r="F18" s="3" t="n">
        <v>13</v>
      </c>
      <c r="G18" s="2" t="inlineStr"/>
      <c r="H18" s="3" t="inlineStr">
        <is>
          <t>N</t>
        </is>
      </c>
      <c r="I18" s="3" t="n">
        <v>80.3</v>
      </c>
      <c r="J18" s="3" t="n">
        <v>30.9</v>
      </c>
      <c r="K18" s="2" t="inlineStr">
        <is>
          <t>Competitor weakness in retention; reinforce loyalty messaging</t>
        </is>
      </c>
    </row>
    <row r="19">
      <c r="A19" s="4" t="inlineStr">
        <is>
          <t>W4</t>
        </is>
      </c>
      <c r="B19" s="4" t="inlineStr">
        <is>
          <t>Farmy</t>
        </is>
      </c>
      <c r="C19" s="4" t="inlineStr">
        <is>
          <t>Y</t>
        </is>
      </c>
      <c r="D19" s="4" t="inlineStr">
        <is>
          <t>Referral bonus CHF 25 credit</t>
        </is>
      </c>
      <c r="E19" s="5" t="inlineStr">
        <is>
          <t>Y</t>
        </is>
      </c>
      <c r="F19" s="5" t="n">
        <v>34.1</v>
      </c>
      <c r="G19" s="4" t="inlineStr"/>
      <c r="H19" s="5" t="inlineStr">
        <is>
          <t>Y</t>
        </is>
      </c>
      <c r="I19" s="5" t="n">
        <v>63.3</v>
      </c>
      <c r="J19" s="5" t="n">
        <v>26.4</v>
      </c>
      <c r="K19" s="4" t="inlineStr">
        <is>
          <t>Promotion fatigue potential in market; emphasize quality over price</t>
        </is>
      </c>
    </row>
    <row r="20">
      <c r="A20" s="2" t="inlineStr">
        <is>
          <t>W4</t>
        </is>
      </c>
      <c r="B20" s="2" t="inlineStr">
        <is>
          <t>Alnatura Online</t>
        </is>
      </c>
      <c r="C20" s="2" t="inlineStr">
        <is>
          <t>N</t>
        </is>
      </c>
      <c r="D20" s="2" t="inlineStr"/>
      <c r="E20" s="3" t="inlineStr">
        <is>
          <t>N</t>
        </is>
      </c>
      <c r="F20" s="3" t="n">
        <v>41.2</v>
      </c>
      <c r="G20" s="2" t="inlineStr">
        <is>
          <t>Google Shopping with video</t>
        </is>
      </c>
      <c r="H20" s="3" t="inlineStr">
        <is>
          <t>N</t>
        </is>
      </c>
      <c r="I20" s="3" t="n">
        <v>66.7</v>
      </c>
      <c r="J20" s="3" t="n">
        <v>43.5</v>
      </c>
      <c r="K20" s="2" t="inlineStr">
        <is>
          <t>Audience overlap high; differentiate on brand values</t>
        </is>
      </c>
    </row>
    <row r="21">
      <c r="A21" s="4" t="inlineStr">
        <is>
          <t>W4</t>
        </is>
      </c>
      <c r="B21" s="4" t="inlineStr">
        <is>
          <t>Bio Partner</t>
        </is>
      </c>
      <c r="C21" s="4" t="inlineStr">
        <is>
          <t>N</t>
        </is>
      </c>
      <c r="D21" s="4" t="inlineStr"/>
      <c r="E21" s="5" t="inlineStr">
        <is>
          <t>N</t>
        </is>
      </c>
      <c r="F21" s="5" t="n">
        <v>23.1</v>
      </c>
      <c r="G21" s="4" t="inlineStr">
        <is>
          <t>Snapchat AR lens filter</t>
        </is>
      </c>
      <c r="H21" s="5" t="inlineStr">
        <is>
          <t>N</t>
        </is>
      </c>
      <c r="I21" s="5" t="n">
        <v>62.1</v>
      </c>
      <c r="J21" s="5" t="n">
        <v>59.4</v>
      </c>
      <c r="K21" s="4" t="inlineStr">
        <is>
          <t>New partnership threat; accelerate influencer program</t>
        </is>
      </c>
    </row>
    <row r="22">
      <c r="A22" s="2" t="inlineStr">
        <is>
          <t>W5</t>
        </is>
      </c>
      <c r="B22" s="2" t="inlineStr">
        <is>
          <t>HelloFresh CH</t>
        </is>
      </c>
      <c r="C22" s="2" t="inlineStr">
        <is>
          <t>N</t>
        </is>
      </c>
      <c r="D22" s="2" t="inlineStr"/>
      <c r="E22" s="3" t="inlineStr">
        <is>
          <t>Y</t>
        </is>
      </c>
      <c r="F22" s="3" t="n">
        <v>23.8</v>
      </c>
      <c r="G22" s="2" t="inlineStr">
        <is>
          <t>Reddit targeted community ads</t>
        </is>
      </c>
      <c r="H22" s="3" t="inlineStr">
        <is>
          <t>Y</t>
        </is>
      </c>
      <c r="I22" s="3" t="n">
        <v>90.8</v>
      </c>
      <c r="J22" s="3" t="n">
        <v>15.8</v>
      </c>
      <c r="K22" s="2" t="inlineStr">
        <is>
          <t>Format innovation detected; test similar approach next quarter</t>
        </is>
      </c>
    </row>
    <row r="23">
      <c r="A23" s="4" t="inlineStr">
        <is>
          <t>W5</t>
        </is>
      </c>
      <c r="B23" s="4" t="inlineStr">
        <is>
          <t>Marley Spoon</t>
        </is>
      </c>
      <c r="C23" s="4" t="inlineStr">
        <is>
          <t>N</t>
        </is>
      </c>
      <c r="D23" s="4" t="inlineStr"/>
      <c r="E23" s="5" t="inlineStr">
        <is>
          <t>Y</t>
        </is>
      </c>
      <c r="F23" s="5" t="n">
        <v>42.8</v>
      </c>
      <c r="G23" s="4" t="inlineStr">
        <is>
          <t>YouTube Shorts with countdown timer</t>
        </is>
      </c>
      <c r="H23" s="5" t="inlineStr">
        <is>
          <t>N</t>
        </is>
      </c>
      <c r="I23" s="5" t="n">
        <v>24.8</v>
      </c>
      <c r="J23" s="5" t="n">
        <v>22.8</v>
      </c>
      <c r="K23" s="4" t="inlineStr">
        <is>
          <t>Format innovation detected; test similar approach next quarter</t>
        </is>
      </c>
    </row>
    <row r="24">
      <c r="A24" s="2" t="inlineStr">
        <is>
          <t>W5</t>
        </is>
      </c>
      <c r="B24" s="2" t="inlineStr">
        <is>
          <t>Farmy</t>
        </is>
      </c>
      <c r="C24" s="2" t="inlineStr">
        <is>
          <t>N</t>
        </is>
      </c>
      <c r="D24" s="2" t="inlineStr"/>
      <c r="E24" s="3" t="inlineStr">
        <is>
          <t>Y</t>
        </is>
      </c>
      <c r="F24" s="3" t="n">
        <v>20.9</v>
      </c>
      <c r="G24" s="2" t="inlineStr"/>
      <c r="H24" s="3" t="inlineStr">
        <is>
          <t>N</t>
        </is>
      </c>
      <c r="I24" s="3" t="n">
        <v>25</v>
      </c>
      <c r="J24" s="3" t="n">
        <v>67.2</v>
      </c>
      <c r="K24" s="2" t="inlineStr">
        <is>
          <t>Format innovation detected; test similar approach next quarter</t>
        </is>
      </c>
    </row>
    <row r="25">
      <c r="A25" s="4" t="inlineStr">
        <is>
          <t>W5</t>
        </is>
      </c>
      <c r="B25" s="4" t="inlineStr">
        <is>
          <t>Alnatura Online</t>
        </is>
      </c>
      <c r="C25" s="4" t="inlineStr">
        <is>
          <t>N</t>
        </is>
      </c>
      <c r="D25" s="4" t="inlineStr"/>
      <c r="E25" s="5" t="inlineStr">
        <is>
          <t>Y</t>
        </is>
      </c>
      <c r="F25" s="5" t="n">
        <v>8</v>
      </c>
      <c r="G25" s="4" t="inlineStr"/>
      <c r="H25" s="5" t="inlineStr">
        <is>
          <t>N</t>
        </is>
      </c>
      <c r="I25" s="5" t="n">
        <v>29.3</v>
      </c>
      <c r="J25" s="5" t="n">
        <v>41.5</v>
      </c>
      <c r="K25" s="4" t="inlineStr">
        <is>
          <t>New partnership threat; accelerate influencer program</t>
        </is>
      </c>
    </row>
    <row r="26">
      <c r="A26" s="2" t="inlineStr">
        <is>
          <t>W5</t>
        </is>
      </c>
      <c r="B26" s="2" t="inlineStr">
        <is>
          <t>Bio Partner</t>
        </is>
      </c>
      <c r="C26" s="2" t="inlineStr">
        <is>
          <t>Y</t>
        </is>
      </c>
      <c r="D26" s="2" t="inlineStr">
        <is>
          <t>Loyalty program launch</t>
        </is>
      </c>
      <c r="E26" s="3" t="inlineStr">
        <is>
          <t>Y</t>
        </is>
      </c>
      <c r="F26" s="3" t="n">
        <v>28.6</v>
      </c>
      <c r="G26" s="2" t="inlineStr"/>
      <c r="H26" s="3" t="inlineStr">
        <is>
          <t>N</t>
        </is>
      </c>
      <c r="I26" s="3" t="n">
        <v>87.5</v>
      </c>
      <c r="J26" s="3" t="n">
        <v>72.09999999999999</v>
      </c>
      <c r="K26" s="2" t="inlineStr">
        <is>
          <t>Competitor weakness in retention; reinforce loyalty messaging</t>
        </is>
      </c>
    </row>
    <row r="27">
      <c r="A27" s="4" t="inlineStr">
        <is>
          <t>W6</t>
        </is>
      </c>
      <c r="B27" s="4" t="inlineStr">
        <is>
          <t>HelloFresh CH</t>
        </is>
      </c>
      <c r="C27" s="4" t="inlineStr">
        <is>
          <t>Y</t>
        </is>
      </c>
      <c r="D27" s="4" t="inlineStr">
        <is>
          <t>Seasonal limited-time offer</t>
        </is>
      </c>
      <c r="E27" s="5" t="inlineStr">
        <is>
          <t>N</t>
        </is>
      </c>
      <c r="F27" s="5" t="n">
        <v>42.8</v>
      </c>
      <c r="G27" s="4" t="inlineStr"/>
      <c r="H27" s="5" t="inlineStr">
        <is>
          <t>N</t>
        </is>
      </c>
      <c r="I27" s="5" t="n">
        <v>90.90000000000001</v>
      </c>
      <c r="J27" s="5" t="n">
        <v>51.9</v>
      </c>
      <c r="K27" s="4" t="inlineStr">
        <is>
          <t>New partnership threat; accelerate influencer program</t>
        </is>
      </c>
    </row>
    <row r="28">
      <c r="A28" s="2" t="inlineStr">
        <is>
          <t>W6</t>
        </is>
      </c>
      <c r="B28" s="2" t="inlineStr">
        <is>
          <t>Marley Spoon</t>
        </is>
      </c>
      <c r="C28" s="2" t="inlineStr">
        <is>
          <t>Y</t>
        </is>
      </c>
      <c r="D28" s="2" t="inlineStr">
        <is>
          <t>Loyalty program launch</t>
        </is>
      </c>
      <c r="E28" s="3" t="inlineStr">
        <is>
          <t>N</t>
        </is>
      </c>
      <c r="F28" s="3" t="n">
        <v>19.2</v>
      </c>
      <c r="G28" s="2" t="inlineStr"/>
      <c r="H28" s="3" t="inlineStr">
        <is>
          <t>N</t>
        </is>
      </c>
      <c r="I28" s="3" t="n">
        <v>47.8</v>
      </c>
      <c r="J28" s="3" t="n">
        <v>42.4</v>
      </c>
      <c r="K28" s="2" t="inlineStr">
        <is>
          <t>Promotion fatigue potential in market; emphasize quality over price</t>
        </is>
      </c>
    </row>
    <row r="29">
      <c r="A29" s="4" t="inlineStr">
        <is>
          <t>W6</t>
        </is>
      </c>
      <c r="B29" s="4" t="inlineStr">
        <is>
          <t>Farmy</t>
        </is>
      </c>
      <c r="C29" s="4" t="inlineStr">
        <is>
          <t>N</t>
        </is>
      </c>
      <c r="D29" s="4" t="inlineStr"/>
      <c r="E29" s="5" t="inlineStr">
        <is>
          <t>Y</t>
        </is>
      </c>
      <c r="F29" s="5" t="n">
        <v>26.3</v>
      </c>
      <c r="G29" s="4" t="inlineStr">
        <is>
          <t>Snapchat AR lens filter</t>
        </is>
      </c>
      <c r="H29" s="5" t="inlineStr">
        <is>
          <t>Y</t>
        </is>
      </c>
      <c r="I29" s="5" t="n">
        <v>51.5</v>
      </c>
      <c r="J29" s="5" t="n">
        <v>10.5</v>
      </c>
      <c r="K29" s="4" t="inlineStr">
        <is>
          <t>Budget concentration in specific channel; diversify spend</t>
        </is>
      </c>
    </row>
    <row r="30">
      <c r="A30" s="2" t="inlineStr">
        <is>
          <t>W6</t>
        </is>
      </c>
      <c r="B30" s="2" t="inlineStr">
        <is>
          <t>Alnatura Online</t>
        </is>
      </c>
      <c r="C30" s="2" t="inlineStr">
        <is>
          <t>N</t>
        </is>
      </c>
      <c r="D30" s="2" t="inlineStr"/>
      <c r="E30" s="3" t="inlineStr">
        <is>
          <t>N</t>
        </is>
      </c>
      <c r="F30" s="3" t="n">
        <v>36.2</v>
      </c>
      <c r="G30" s="2" t="inlineStr">
        <is>
          <t>Snapchat AR lens filter</t>
        </is>
      </c>
      <c r="H30" s="3" t="inlineStr">
        <is>
          <t>Y</t>
        </is>
      </c>
      <c r="I30" s="3" t="n">
        <v>88.3</v>
      </c>
      <c r="J30" s="3" t="n">
        <v>25.6</v>
      </c>
      <c r="K30" s="2" t="inlineStr">
        <is>
          <t>Market saturation in peak seasons; shift to off-peak targeting</t>
        </is>
      </c>
    </row>
    <row r="31">
      <c r="A31" s="4" t="inlineStr">
        <is>
          <t>W6</t>
        </is>
      </c>
      <c r="B31" s="4" t="inlineStr">
        <is>
          <t>Bio Partner</t>
        </is>
      </c>
      <c r="C31" s="4" t="inlineStr">
        <is>
          <t>N</t>
        </is>
      </c>
      <c r="D31" s="4" t="inlineStr"/>
      <c r="E31" s="5" t="inlineStr">
        <is>
          <t>Y</t>
        </is>
      </c>
      <c r="F31" s="5" t="n">
        <v>11.5</v>
      </c>
      <c r="G31" s="4" t="inlineStr"/>
      <c r="H31" s="5" t="inlineStr">
        <is>
          <t>N</t>
        </is>
      </c>
      <c r="I31" s="5" t="n">
        <v>91.90000000000001</v>
      </c>
      <c r="J31" s="5" t="n">
        <v>69.09999999999999</v>
      </c>
      <c r="K31" s="4" t="inlineStr">
        <is>
          <t>Market saturation in peak seasons; shift to off-peak targeting</t>
        </is>
      </c>
    </row>
    <row r="32">
      <c r="A32" s="2" t="inlineStr">
        <is>
          <t>W7</t>
        </is>
      </c>
      <c r="B32" s="2" t="inlineStr">
        <is>
          <t>HelloFresh CH</t>
        </is>
      </c>
      <c r="C32" s="2" t="inlineStr">
        <is>
          <t>Y</t>
        </is>
      </c>
      <c r="D32" s="2" t="inlineStr">
        <is>
          <t>First box 50% off for new subscribers</t>
        </is>
      </c>
      <c r="E32" s="3" t="inlineStr">
        <is>
          <t>Y</t>
        </is>
      </c>
      <c r="F32" s="3" t="n">
        <v>36.3</v>
      </c>
      <c r="G32" s="2" t="inlineStr">
        <is>
          <t>LinkedIn carousel for B2B2C</t>
        </is>
      </c>
      <c r="H32" s="3" t="inlineStr">
        <is>
          <t>N</t>
        </is>
      </c>
      <c r="I32" s="3" t="n">
        <v>38.7</v>
      </c>
      <c r="J32" s="3" t="n">
        <v>62.2</v>
      </c>
      <c r="K32" s="2" t="inlineStr">
        <is>
          <t>Competitor weakness in retention; reinforce loyalty messaging</t>
        </is>
      </c>
    </row>
    <row r="33">
      <c r="A33" s="4" t="inlineStr">
        <is>
          <t>W7</t>
        </is>
      </c>
      <c r="B33" s="4" t="inlineStr">
        <is>
          <t>Marley Spoon</t>
        </is>
      </c>
      <c r="C33" s="4" t="inlineStr">
        <is>
          <t>N</t>
        </is>
      </c>
      <c r="D33" s="4" t="inlineStr"/>
      <c r="E33" s="5" t="inlineStr">
        <is>
          <t>Y</t>
        </is>
      </c>
      <c r="F33" s="5" t="n">
        <v>23.8</v>
      </c>
      <c r="G33" s="4" t="inlineStr"/>
      <c r="H33" s="5" t="inlineStr">
        <is>
          <t>N</t>
        </is>
      </c>
      <c r="I33" s="5" t="n">
        <v>32.4</v>
      </c>
      <c r="J33" s="5" t="n">
        <v>47.1</v>
      </c>
      <c r="K33" s="4" t="inlineStr">
        <is>
          <t>Market saturation in peak seasons; shift to off-peak targeting</t>
        </is>
      </c>
    </row>
    <row r="34">
      <c r="A34" s="2" t="inlineStr">
        <is>
          <t>W7</t>
        </is>
      </c>
      <c r="B34" s="2" t="inlineStr">
        <is>
          <t>Farmy</t>
        </is>
      </c>
      <c r="C34" s="2" t="inlineStr">
        <is>
          <t>Y</t>
        </is>
      </c>
      <c r="D34" s="2" t="inlineStr">
        <is>
          <t>Free shipping on orders over CHF 100</t>
        </is>
      </c>
      <c r="E34" s="3" t="inlineStr">
        <is>
          <t>Y</t>
        </is>
      </c>
      <c r="F34" s="3" t="n">
        <v>37.1</v>
      </c>
      <c r="G34" s="2" t="inlineStr">
        <is>
          <t>Podcast sponsorship integration</t>
        </is>
      </c>
      <c r="H34" s="3" t="inlineStr">
        <is>
          <t>Y</t>
        </is>
      </c>
      <c r="I34" s="3" t="n">
        <v>43.5</v>
      </c>
      <c r="J34" s="3" t="n">
        <v>24.4</v>
      </c>
      <c r="K34" s="2" t="inlineStr">
        <is>
          <t>Format innovation detected; test similar approach next quarter</t>
        </is>
      </c>
    </row>
    <row r="35">
      <c r="A35" s="4" t="inlineStr">
        <is>
          <t>W7</t>
        </is>
      </c>
      <c r="B35" s="4" t="inlineStr">
        <is>
          <t>Alnatura Online</t>
        </is>
      </c>
      <c r="C35" s="4" t="inlineStr">
        <is>
          <t>N</t>
        </is>
      </c>
      <c r="D35" s="4" t="inlineStr"/>
      <c r="E35" s="5" t="inlineStr">
        <is>
          <t>Y</t>
        </is>
      </c>
      <c r="F35" s="5" t="n">
        <v>30.5</v>
      </c>
      <c r="G35" s="4" t="inlineStr">
        <is>
          <t>YouTube Shorts with countdown timer</t>
        </is>
      </c>
      <c r="H35" s="5" t="inlineStr">
        <is>
          <t>Y</t>
        </is>
      </c>
      <c r="I35" s="5" t="n">
        <v>79.2</v>
      </c>
      <c r="J35" s="5" t="n">
        <v>71.90000000000001</v>
      </c>
      <c r="K35" s="4" t="inlineStr">
        <is>
          <t>Budget concentration in specific channel; diversify spend</t>
        </is>
      </c>
    </row>
    <row r="36">
      <c r="A36" s="2" t="inlineStr">
        <is>
          <t>W7</t>
        </is>
      </c>
      <c r="B36" s="2" t="inlineStr">
        <is>
          <t>Bio Partner</t>
        </is>
      </c>
      <c r="C36" s="2" t="inlineStr">
        <is>
          <t>Y</t>
        </is>
      </c>
      <c r="D36" s="2" t="inlineStr">
        <is>
          <t>Family meal combo pricing</t>
        </is>
      </c>
      <c r="E36" s="3" t="inlineStr">
        <is>
          <t>N</t>
        </is>
      </c>
      <c r="F36" s="3" t="n">
        <v>33.6</v>
      </c>
      <c r="G36" s="2" t="inlineStr"/>
      <c r="H36" s="3" t="inlineStr">
        <is>
          <t>N</t>
        </is>
      </c>
      <c r="I36" s="3" t="n">
        <v>16</v>
      </c>
      <c r="J36" s="3" t="n">
        <v>77.5</v>
      </c>
      <c r="K36" s="2" t="inlineStr">
        <is>
          <t>Audience overlap high; differentiate on brand values</t>
        </is>
      </c>
    </row>
    <row r="37">
      <c r="A37" s="4" t="inlineStr">
        <is>
          <t>W8</t>
        </is>
      </c>
      <c r="B37" s="4" t="inlineStr">
        <is>
          <t>HelloFresh CH</t>
        </is>
      </c>
      <c r="C37" s="4" t="inlineStr">
        <is>
          <t>N</t>
        </is>
      </c>
      <c r="D37" s="4" t="inlineStr"/>
      <c r="E37" s="5" t="inlineStr">
        <is>
          <t>Y</t>
        </is>
      </c>
      <c r="F37" s="5" t="n">
        <v>19.1</v>
      </c>
      <c r="G37" s="4" t="inlineStr"/>
      <c r="H37" s="5" t="inlineStr">
        <is>
          <t>Y</t>
        </is>
      </c>
      <c r="I37" s="5" t="n">
        <v>33.1</v>
      </c>
      <c r="J37" s="5" t="n">
        <v>39.9</v>
      </c>
      <c r="K37" s="4" t="inlineStr">
        <is>
          <t>Competitor pricing pressure; consider bundle repositioning</t>
        </is>
      </c>
    </row>
    <row r="38">
      <c r="A38" s="2" t="inlineStr">
        <is>
          <t>W8</t>
        </is>
      </c>
      <c r="B38" s="2" t="inlineStr">
        <is>
          <t>Marley Spoon</t>
        </is>
      </c>
      <c r="C38" s="2" t="inlineStr">
        <is>
          <t>N</t>
        </is>
      </c>
      <c r="D38" s="2" t="inlineStr"/>
      <c r="E38" s="3" t="inlineStr">
        <is>
          <t>N</t>
        </is>
      </c>
      <c r="F38" s="3" t="n">
        <v>12.4</v>
      </c>
      <c r="G38" s="2" t="inlineStr"/>
      <c r="H38" s="3" t="inlineStr">
        <is>
          <t>N</t>
        </is>
      </c>
      <c r="I38" s="3" t="n">
        <v>68.7</v>
      </c>
      <c r="J38" s="3" t="n">
        <v>26.6</v>
      </c>
      <c r="K38" s="2" t="inlineStr">
        <is>
          <t>Budget concentration in specific channel; diversify spend</t>
        </is>
      </c>
    </row>
    <row r="39">
      <c r="A39" s="4" t="inlineStr">
        <is>
          <t>W8</t>
        </is>
      </c>
      <c r="B39" s="4" t="inlineStr">
        <is>
          <t>Farmy</t>
        </is>
      </c>
      <c r="C39" s="4" t="inlineStr">
        <is>
          <t>N</t>
        </is>
      </c>
      <c r="D39" s="4" t="inlineStr"/>
      <c r="E39" s="5" t="inlineStr">
        <is>
          <t>N</t>
        </is>
      </c>
      <c r="F39" s="5" t="n">
        <v>36.2</v>
      </c>
      <c r="G39" s="4" t="inlineStr">
        <is>
          <t>Reddit targeted community ads</t>
        </is>
      </c>
      <c r="H39" s="5" t="inlineStr">
        <is>
          <t>N</t>
        </is>
      </c>
      <c r="I39" s="5" t="n">
        <v>34.6</v>
      </c>
      <c r="J39" s="5" t="n">
        <v>59</v>
      </c>
      <c r="K39" s="4" t="inlineStr">
        <is>
          <t>Competitor weakness in retention; reinforce loyalty messaging</t>
        </is>
      </c>
    </row>
    <row r="40">
      <c r="A40" s="2" t="inlineStr">
        <is>
          <t>W8</t>
        </is>
      </c>
      <c r="B40" s="2" t="inlineStr">
        <is>
          <t>Alnatura Online</t>
        </is>
      </c>
      <c r="C40" s="2" t="inlineStr">
        <is>
          <t>Y</t>
        </is>
      </c>
      <c r="D40" s="2" t="inlineStr">
        <is>
          <t>Partnership promotion with fitness brand</t>
        </is>
      </c>
      <c r="E40" s="3" t="inlineStr">
        <is>
          <t>N</t>
        </is>
      </c>
      <c r="F40" s="3" t="n">
        <v>31</v>
      </c>
      <c r="G40" s="2" t="inlineStr"/>
      <c r="H40" s="3" t="inlineStr">
        <is>
          <t>Y</t>
        </is>
      </c>
      <c r="I40" s="3" t="n">
        <v>82.8</v>
      </c>
      <c r="J40" s="3" t="n">
        <v>14.2</v>
      </c>
      <c r="K40" s="2" t="inlineStr">
        <is>
          <t>Format innovation detected; test similar approach next quarter</t>
        </is>
      </c>
    </row>
    <row r="41">
      <c r="A41" s="4" t="inlineStr">
        <is>
          <t>W8</t>
        </is>
      </c>
      <c r="B41" s="4" t="inlineStr">
        <is>
          <t>Bio Partner</t>
        </is>
      </c>
      <c r="C41" s="4" t="inlineStr">
        <is>
          <t>N</t>
        </is>
      </c>
      <c r="D41" s="4" t="inlineStr"/>
      <c r="E41" s="5" t="inlineStr">
        <is>
          <t>Y</t>
        </is>
      </c>
      <c r="F41" s="5" t="n">
        <v>9.4</v>
      </c>
      <c r="G41" s="4" t="inlineStr"/>
      <c r="H41" s="5" t="inlineStr">
        <is>
          <t>Y</t>
        </is>
      </c>
      <c r="I41" s="5" t="n">
        <v>70.8</v>
      </c>
      <c r="J41" s="5" t="n">
        <v>72.3</v>
      </c>
      <c r="K41" s="4" t="inlineStr">
        <is>
          <t>CPC inflation indicates increased budget allocation; optimize targeting</t>
        </is>
      </c>
    </row>
    <row r="42">
      <c r="A42" s="2" t="inlineStr">
        <is>
          <t>W9</t>
        </is>
      </c>
      <c r="B42" s="2" t="inlineStr">
        <is>
          <t>HelloFresh CH</t>
        </is>
      </c>
      <c r="C42" s="2" t="inlineStr">
        <is>
          <t>N</t>
        </is>
      </c>
      <c r="D42" s="2" t="inlineStr"/>
      <c r="E42" s="3" t="inlineStr">
        <is>
          <t>Y</t>
        </is>
      </c>
      <c r="F42" s="3" t="n">
        <v>25</v>
      </c>
      <c r="G42" s="2" t="inlineStr"/>
      <c r="H42" s="3" t="inlineStr">
        <is>
          <t>Y</t>
        </is>
      </c>
      <c r="I42" s="3" t="n">
        <v>37.8</v>
      </c>
      <c r="J42" s="3" t="n">
        <v>55.2</v>
      </c>
      <c r="K42" s="2" t="inlineStr">
        <is>
          <t>Promotion fatigue potential in market; emphasize quality over price</t>
        </is>
      </c>
    </row>
    <row r="43">
      <c r="A43" s="4" t="inlineStr">
        <is>
          <t>W9</t>
        </is>
      </c>
      <c r="B43" s="4" t="inlineStr">
        <is>
          <t>Marley Spoon</t>
        </is>
      </c>
      <c r="C43" s="4" t="inlineStr">
        <is>
          <t>N</t>
        </is>
      </c>
      <c r="D43" s="4" t="inlineStr"/>
      <c r="E43" s="5" t="inlineStr">
        <is>
          <t>Y</t>
        </is>
      </c>
      <c r="F43" s="5" t="n">
        <v>11.3</v>
      </c>
      <c r="G43" s="4" t="inlineStr">
        <is>
          <t>LinkedIn carousel for B2B2C</t>
        </is>
      </c>
      <c r="H43" s="5" t="inlineStr">
        <is>
          <t>N</t>
        </is>
      </c>
      <c r="I43" s="5" t="n">
        <v>22.7</v>
      </c>
      <c r="J43" s="5" t="n">
        <v>71.3</v>
      </c>
      <c r="K43" s="4" t="inlineStr">
        <is>
          <t>Promotion fatigue potential in market; emphasize quality over price</t>
        </is>
      </c>
    </row>
    <row r="44">
      <c r="A44" s="2" t="inlineStr">
        <is>
          <t>W9</t>
        </is>
      </c>
      <c r="B44" s="2" t="inlineStr">
        <is>
          <t>Farmy</t>
        </is>
      </c>
      <c r="C44" s="2" t="inlineStr">
        <is>
          <t>Y</t>
        </is>
      </c>
      <c r="D44" s="2" t="inlineStr">
        <is>
          <t>Seasonal limited-time offer</t>
        </is>
      </c>
      <c r="E44" s="3" t="inlineStr">
        <is>
          <t>Y</t>
        </is>
      </c>
      <c r="F44" s="3" t="n">
        <v>8.300000000000001</v>
      </c>
      <c r="G44" s="2" t="inlineStr"/>
      <c r="H44" s="3" t="inlineStr">
        <is>
          <t>N</t>
        </is>
      </c>
      <c r="I44" s="3" t="n">
        <v>31.2</v>
      </c>
      <c r="J44" s="3" t="n">
        <v>15.9</v>
      </c>
      <c r="K44" s="2" t="inlineStr">
        <is>
          <t>Promotion fatigue potential in market; emphasize quality over price</t>
        </is>
      </c>
    </row>
    <row r="45">
      <c r="A45" s="4" t="inlineStr">
        <is>
          <t>W9</t>
        </is>
      </c>
      <c r="B45" s="4" t="inlineStr">
        <is>
          <t>Alnatura Online</t>
        </is>
      </c>
      <c r="C45" s="4" t="inlineStr">
        <is>
          <t>N</t>
        </is>
      </c>
      <c r="D45" s="4" t="inlineStr"/>
      <c r="E45" s="5" t="inlineStr">
        <is>
          <t>Y</t>
        </is>
      </c>
      <c r="F45" s="5" t="n">
        <v>27.3</v>
      </c>
      <c r="G45" s="4" t="inlineStr">
        <is>
          <t>YouTube Shorts with countdown timer</t>
        </is>
      </c>
      <c r="H45" s="5" t="inlineStr">
        <is>
          <t>N</t>
        </is>
      </c>
      <c r="I45" s="5" t="n">
        <v>28.9</v>
      </c>
      <c r="J45" s="5" t="n">
        <v>67.2</v>
      </c>
      <c r="K45" s="4" t="inlineStr">
        <is>
          <t>Promotion fatigue potential in market; emphasize quality over price</t>
        </is>
      </c>
    </row>
    <row r="46">
      <c r="A46" s="2" t="inlineStr">
        <is>
          <t>W9</t>
        </is>
      </c>
      <c r="B46" s="2" t="inlineStr">
        <is>
          <t>Bio Partner</t>
        </is>
      </c>
      <c r="C46" s="2" t="inlineStr">
        <is>
          <t>N</t>
        </is>
      </c>
      <c r="D46" s="2" t="inlineStr"/>
      <c r="E46" s="3" t="inlineStr">
        <is>
          <t>N</t>
        </is>
      </c>
      <c r="F46" s="3" t="n">
        <v>32.9</v>
      </c>
      <c r="G46" s="2" t="inlineStr"/>
      <c r="H46" s="3" t="inlineStr">
        <is>
          <t>Y</t>
        </is>
      </c>
      <c r="I46" s="3" t="n">
        <v>64.8</v>
      </c>
      <c r="J46" s="3" t="n">
        <v>83.2</v>
      </c>
      <c r="K46" s="2" t="inlineStr">
        <is>
          <t>CPC inflation indicates increased budget allocation; optimize targeting</t>
        </is>
      </c>
    </row>
    <row r="47">
      <c r="A47" s="4" t="inlineStr">
        <is>
          <t>W10</t>
        </is>
      </c>
      <c r="B47" s="4" t="inlineStr">
        <is>
          <t>HelloFresh CH</t>
        </is>
      </c>
      <c r="C47" s="4" t="inlineStr">
        <is>
          <t>N</t>
        </is>
      </c>
      <c r="D47" s="4" t="inlineStr"/>
      <c r="E47" s="5" t="inlineStr">
        <is>
          <t>Y</t>
        </is>
      </c>
      <c r="F47" s="5" t="n">
        <v>20.9</v>
      </c>
      <c r="G47" s="4" t="inlineStr">
        <is>
          <t>Interactive Stories on Instagram</t>
        </is>
      </c>
      <c r="H47" s="5" t="inlineStr">
        <is>
          <t>N</t>
        </is>
      </c>
      <c r="I47" s="5" t="n">
        <v>50.6</v>
      </c>
      <c r="J47" s="5" t="n">
        <v>45.6</v>
      </c>
      <c r="K47" s="4" t="inlineStr">
        <is>
          <t>Competitor pricing pressure; consider bundle repositioning</t>
        </is>
      </c>
    </row>
    <row r="48">
      <c r="A48" s="2" t="inlineStr">
        <is>
          <t>W10</t>
        </is>
      </c>
      <c r="B48" s="2" t="inlineStr">
        <is>
          <t>Marley Spoon</t>
        </is>
      </c>
      <c r="C48" s="2" t="inlineStr">
        <is>
          <t>N</t>
        </is>
      </c>
      <c r="D48" s="2" t="inlineStr"/>
      <c r="E48" s="3" t="inlineStr">
        <is>
          <t>Y</t>
        </is>
      </c>
      <c r="F48" s="3" t="n">
        <v>32.7</v>
      </c>
      <c r="G48" s="2" t="inlineStr">
        <is>
          <t>Google Shopping with video</t>
        </is>
      </c>
      <c r="H48" s="3" t="inlineStr">
        <is>
          <t>N</t>
        </is>
      </c>
      <c r="I48" s="3" t="n">
        <v>54.1</v>
      </c>
      <c r="J48" s="3" t="n">
        <v>13.2</v>
      </c>
      <c r="K48" s="2" t="inlineStr">
        <is>
          <t>Budget concentration in specific channel; diversify spend</t>
        </is>
      </c>
    </row>
    <row r="49">
      <c r="A49" s="4" t="inlineStr">
        <is>
          <t>W10</t>
        </is>
      </c>
      <c r="B49" s="4" t="inlineStr">
        <is>
          <t>Farmy</t>
        </is>
      </c>
      <c r="C49" s="4" t="inlineStr">
        <is>
          <t>Y</t>
        </is>
      </c>
      <c r="D49" s="4" t="inlineStr">
        <is>
          <t>Seasonal limited-time offer</t>
        </is>
      </c>
      <c r="E49" s="5" t="inlineStr">
        <is>
          <t>N</t>
        </is>
      </c>
      <c r="F49" s="5" t="n">
        <v>44.1</v>
      </c>
      <c r="G49" s="4" t="inlineStr"/>
      <c r="H49" s="5" t="inlineStr">
        <is>
          <t>N</t>
        </is>
      </c>
      <c r="I49" s="5" t="n">
        <v>63.8</v>
      </c>
      <c r="J49" s="5" t="n">
        <v>71.09999999999999</v>
      </c>
      <c r="K49" s="4" t="inlineStr">
        <is>
          <t>New audience segment activation; monitor LTV implications</t>
        </is>
      </c>
    </row>
    <row r="50">
      <c r="A50" s="2" t="inlineStr">
        <is>
          <t>W10</t>
        </is>
      </c>
      <c r="B50" s="2" t="inlineStr">
        <is>
          <t>Alnatura Online</t>
        </is>
      </c>
      <c r="C50" s="2" t="inlineStr">
        <is>
          <t>N</t>
        </is>
      </c>
      <c r="D50" s="2" t="inlineStr"/>
      <c r="E50" s="3" t="inlineStr">
        <is>
          <t>Y</t>
        </is>
      </c>
      <c r="F50" s="3" t="n">
        <v>36</v>
      </c>
      <c r="G50" s="2" t="inlineStr"/>
      <c r="H50" s="3" t="inlineStr">
        <is>
          <t>N</t>
        </is>
      </c>
      <c r="I50" s="3" t="n">
        <v>46.3</v>
      </c>
      <c r="J50" s="3" t="n">
        <v>24.9</v>
      </c>
      <c r="K50" s="2" t="inlineStr">
        <is>
          <t>Format innovation detected; test similar approach next quarter</t>
        </is>
      </c>
    </row>
    <row r="51">
      <c r="A51" s="4" t="inlineStr">
        <is>
          <t>W10</t>
        </is>
      </c>
      <c r="B51" s="4" t="inlineStr">
        <is>
          <t>Bio Partner</t>
        </is>
      </c>
      <c r="C51" s="4" t="inlineStr">
        <is>
          <t>Y</t>
        </is>
      </c>
      <c r="D51" s="4" t="inlineStr">
        <is>
          <t>First box 50% off for new subscribers</t>
        </is>
      </c>
      <c r="E51" s="5" t="inlineStr">
        <is>
          <t>N</t>
        </is>
      </c>
      <c r="F51" s="5" t="n">
        <v>27.6</v>
      </c>
      <c r="G51" s="4" t="inlineStr"/>
      <c r="H51" s="5" t="inlineStr">
        <is>
          <t>N</t>
        </is>
      </c>
      <c r="I51" s="5" t="n">
        <v>25.7</v>
      </c>
      <c r="J51" s="5" t="n">
        <v>11</v>
      </c>
      <c r="K51" s="4" t="inlineStr">
        <is>
          <t>Audience overlap high; differentiate on brand values</t>
        </is>
      </c>
    </row>
    <row r="52">
      <c r="A52" s="2" t="inlineStr">
        <is>
          <t>W11</t>
        </is>
      </c>
      <c r="B52" s="2" t="inlineStr">
        <is>
          <t>HelloFresh CH</t>
        </is>
      </c>
      <c r="C52" s="2" t="inlineStr">
        <is>
          <t>Y</t>
        </is>
      </c>
      <c r="D52" s="2" t="inlineStr">
        <is>
          <t>Family meal combo pricing</t>
        </is>
      </c>
      <c r="E52" s="3" t="inlineStr">
        <is>
          <t>N</t>
        </is>
      </c>
      <c r="F52" s="3" t="n">
        <v>9.199999999999999</v>
      </c>
      <c r="G52" s="2" t="inlineStr">
        <is>
          <t>TikTok Duet challenge</t>
        </is>
      </c>
      <c r="H52" s="3" t="inlineStr">
        <is>
          <t>Y</t>
        </is>
      </c>
      <c r="I52" s="3" t="n">
        <v>87.90000000000001</v>
      </c>
      <c r="J52" s="3" t="n">
        <v>22.8</v>
      </c>
      <c r="K52" s="2" t="inlineStr">
        <is>
          <t>New audience segment activation; monitor LTV implications</t>
        </is>
      </c>
    </row>
    <row r="53">
      <c r="A53" s="4" t="inlineStr">
        <is>
          <t>W11</t>
        </is>
      </c>
      <c r="B53" s="4" t="inlineStr">
        <is>
          <t>Marley Spoon</t>
        </is>
      </c>
      <c r="C53" s="4" t="inlineStr">
        <is>
          <t>N</t>
        </is>
      </c>
      <c r="D53" s="4" t="inlineStr"/>
      <c r="E53" s="5" t="inlineStr">
        <is>
          <t>N</t>
        </is>
      </c>
      <c r="F53" s="5" t="n">
        <v>22.8</v>
      </c>
      <c r="G53" s="4" t="inlineStr"/>
      <c r="H53" s="5" t="inlineStr">
        <is>
          <t>N</t>
        </is>
      </c>
      <c r="I53" s="5" t="n">
        <v>40.7</v>
      </c>
      <c r="J53" s="5" t="n">
        <v>64.3</v>
      </c>
      <c r="K53" s="4" t="inlineStr">
        <is>
          <t>Format innovation detected; test similar approach next quarter</t>
        </is>
      </c>
    </row>
    <row r="54">
      <c r="A54" s="2" t="inlineStr">
        <is>
          <t>W11</t>
        </is>
      </c>
      <c r="B54" s="2" t="inlineStr">
        <is>
          <t>Farmy</t>
        </is>
      </c>
      <c r="C54" s="2" t="inlineStr">
        <is>
          <t>Y</t>
        </is>
      </c>
      <c r="D54" s="2" t="inlineStr">
        <is>
          <t>Loyalty program launch</t>
        </is>
      </c>
      <c r="E54" s="3" t="inlineStr">
        <is>
          <t>N</t>
        </is>
      </c>
      <c r="F54" s="3" t="n">
        <v>6.8</v>
      </c>
      <c r="G54" s="2" t="inlineStr"/>
      <c r="H54" s="3" t="inlineStr">
        <is>
          <t>N</t>
        </is>
      </c>
      <c r="I54" s="3" t="n">
        <v>16.9</v>
      </c>
      <c r="J54" s="3" t="n">
        <v>43.3</v>
      </c>
      <c r="K54" s="2" t="inlineStr">
        <is>
          <t>New audience segment activation; monitor LTV implications</t>
        </is>
      </c>
    </row>
    <row r="55">
      <c r="A55" s="4" t="inlineStr">
        <is>
          <t>W11</t>
        </is>
      </c>
      <c r="B55" s="4" t="inlineStr">
        <is>
          <t>Alnatura Online</t>
        </is>
      </c>
      <c r="C55" s="4" t="inlineStr">
        <is>
          <t>Y</t>
        </is>
      </c>
      <c r="D55" s="4" t="inlineStr">
        <is>
          <t>First box 50% off for new subscribers</t>
        </is>
      </c>
      <c r="E55" s="5" t="inlineStr">
        <is>
          <t>Y</t>
        </is>
      </c>
      <c r="F55" s="5" t="n">
        <v>23.1</v>
      </c>
      <c r="G55" s="4" t="inlineStr"/>
      <c r="H55" s="5" t="inlineStr">
        <is>
          <t>N</t>
        </is>
      </c>
      <c r="I55" s="5" t="n">
        <v>80.7</v>
      </c>
      <c r="J55" s="5" t="n">
        <v>80.7</v>
      </c>
      <c r="K55" s="4" t="inlineStr">
        <is>
          <t>New audience segment activation; monitor LTV implications</t>
        </is>
      </c>
    </row>
    <row r="56">
      <c r="A56" s="2" t="inlineStr">
        <is>
          <t>W11</t>
        </is>
      </c>
      <c r="B56" s="2" t="inlineStr">
        <is>
          <t>Bio Partner</t>
        </is>
      </c>
      <c r="C56" s="2" t="inlineStr">
        <is>
          <t>N</t>
        </is>
      </c>
      <c r="D56" s="2" t="inlineStr"/>
      <c r="E56" s="3" t="inlineStr">
        <is>
          <t>Y</t>
        </is>
      </c>
      <c r="F56" s="3" t="n">
        <v>27.6</v>
      </c>
      <c r="G56" s="2" t="inlineStr"/>
      <c r="H56" s="3" t="inlineStr">
        <is>
          <t>N</t>
        </is>
      </c>
      <c r="I56" s="3" t="n">
        <v>60.9</v>
      </c>
      <c r="J56" s="3" t="n">
        <v>73</v>
      </c>
      <c r="K56" s="2" t="inlineStr">
        <is>
          <t>CPC inflation indicates increased budget allocation; optimize targeting</t>
        </is>
      </c>
    </row>
    <row r="57">
      <c r="A57" s="4" t="inlineStr">
        <is>
          <t>W12</t>
        </is>
      </c>
      <c r="B57" s="4" t="inlineStr">
        <is>
          <t>HelloFresh CH</t>
        </is>
      </c>
      <c r="C57" s="4" t="inlineStr">
        <is>
          <t>N</t>
        </is>
      </c>
      <c r="D57" s="4" t="inlineStr"/>
      <c r="E57" s="5" t="inlineStr">
        <is>
          <t>N</t>
        </is>
      </c>
      <c r="F57" s="5" t="n">
        <v>11.5</v>
      </c>
      <c r="G57" s="4" t="inlineStr"/>
      <c r="H57" s="5" t="inlineStr">
        <is>
          <t>N</t>
        </is>
      </c>
      <c r="I57" s="5" t="n">
        <v>21.6</v>
      </c>
      <c r="J57" s="5" t="n">
        <v>21.6</v>
      </c>
      <c r="K57" s="4" t="inlineStr">
        <is>
          <t>CPC inflation indicates increased budget allocation; optimize targeting</t>
        </is>
      </c>
    </row>
    <row r="58">
      <c r="A58" s="2" t="inlineStr">
        <is>
          <t>W12</t>
        </is>
      </c>
      <c r="B58" s="2" t="inlineStr">
        <is>
          <t>Marley Spoon</t>
        </is>
      </c>
      <c r="C58" s="2" t="inlineStr">
        <is>
          <t>N</t>
        </is>
      </c>
      <c r="D58" s="2" t="inlineStr"/>
      <c r="E58" s="3" t="inlineStr">
        <is>
          <t>N</t>
        </is>
      </c>
      <c r="F58" s="3" t="n">
        <v>16</v>
      </c>
      <c r="G58" s="2" t="inlineStr">
        <is>
          <t>Interactive Stories on Instagram</t>
        </is>
      </c>
      <c r="H58" s="3" t="inlineStr">
        <is>
          <t>N</t>
        </is>
      </c>
      <c r="I58" s="3" t="n">
        <v>32.2</v>
      </c>
      <c r="J58" s="3" t="n">
        <v>64.90000000000001</v>
      </c>
      <c r="K58" s="2" t="inlineStr">
        <is>
          <t>CPC inflation indicates increased budget allocation; optimize targeting</t>
        </is>
      </c>
    </row>
    <row r="59">
      <c r="A59" s="4" t="inlineStr">
        <is>
          <t>W12</t>
        </is>
      </c>
      <c r="B59" s="4" t="inlineStr">
        <is>
          <t>Farmy</t>
        </is>
      </c>
      <c r="C59" s="4" t="inlineStr">
        <is>
          <t>N</t>
        </is>
      </c>
      <c r="D59" s="4" t="inlineStr"/>
      <c r="E59" s="5" t="inlineStr">
        <is>
          <t>N</t>
        </is>
      </c>
      <c r="F59" s="5" t="n">
        <v>7.4</v>
      </c>
      <c r="G59" s="4" t="inlineStr"/>
      <c r="H59" s="5" t="inlineStr">
        <is>
          <t>Y</t>
        </is>
      </c>
      <c r="I59" s="5" t="n">
        <v>81.90000000000001</v>
      </c>
      <c r="J59" s="5" t="n">
        <v>17.4</v>
      </c>
      <c r="K59" s="4" t="inlineStr">
        <is>
          <t>New audience segment activation; monitor LTV implications</t>
        </is>
      </c>
    </row>
    <row r="60">
      <c r="A60" s="2" t="inlineStr">
        <is>
          <t>W12</t>
        </is>
      </c>
      <c r="B60" s="2" t="inlineStr">
        <is>
          <t>Alnatura Online</t>
        </is>
      </c>
      <c r="C60" s="2" t="inlineStr">
        <is>
          <t>Y</t>
        </is>
      </c>
      <c r="D60" s="2" t="inlineStr">
        <is>
          <t>Bundle discount (2 boxes at 20% off)</t>
        </is>
      </c>
      <c r="E60" s="3" t="inlineStr">
        <is>
          <t>Y</t>
        </is>
      </c>
      <c r="F60" s="3" t="n">
        <v>41.1</v>
      </c>
      <c r="G60" s="2" t="inlineStr"/>
      <c r="H60" s="3" t="inlineStr">
        <is>
          <t>N</t>
        </is>
      </c>
      <c r="I60" s="3" t="n">
        <v>90.2</v>
      </c>
      <c r="J60" s="3" t="n">
        <v>84.3</v>
      </c>
      <c r="K60" s="2" t="inlineStr">
        <is>
          <t>Market saturation in peak seasons; shift to off-peak targeting</t>
        </is>
      </c>
    </row>
    <row r="61">
      <c r="A61" s="4" t="inlineStr">
        <is>
          <t>W12</t>
        </is>
      </c>
      <c r="B61" s="4" t="inlineStr">
        <is>
          <t>Bio Partner</t>
        </is>
      </c>
      <c r="C61" s="4" t="inlineStr">
        <is>
          <t>Y</t>
        </is>
      </c>
      <c r="D61" s="4" t="inlineStr">
        <is>
          <t>Seasonal limited-time offer</t>
        </is>
      </c>
      <c r="E61" s="5" t="inlineStr">
        <is>
          <t>N</t>
        </is>
      </c>
      <c r="F61" s="5" t="n">
        <v>5.7</v>
      </c>
      <c r="G61" s="4" t="inlineStr">
        <is>
          <t>TikTok Duet challenge</t>
        </is>
      </c>
      <c r="H61" s="5" t="inlineStr">
        <is>
          <t>N</t>
        </is>
      </c>
      <c r="I61" s="5" t="n">
        <v>38.4</v>
      </c>
      <c r="J61" s="5" t="n">
        <v>54.2</v>
      </c>
      <c r="K61" s="4" t="inlineStr">
        <is>
          <t>Format innovation detected; test similar approach next quarter</t>
        </is>
      </c>
    </row>
    <row r="62">
      <c r="A62" s="2" t="inlineStr">
        <is>
          <t>W13</t>
        </is>
      </c>
      <c r="B62" s="2" t="inlineStr">
        <is>
          <t>HelloFresh CH</t>
        </is>
      </c>
      <c r="C62" s="2" t="inlineStr">
        <is>
          <t>N</t>
        </is>
      </c>
      <c r="D62" s="2" t="inlineStr"/>
      <c r="E62" s="3" t="inlineStr">
        <is>
          <t>N</t>
        </is>
      </c>
      <c r="F62" s="3" t="n">
        <v>25.2</v>
      </c>
      <c r="G62" s="2" t="inlineStr">
        <is>
          <t>Google Shopping with video</t>
        </is>
      </c>
      <c r="H62" s="3" t="inlineStr">
        <is>
          <t>N</t>
        </is>
      </c>
      <c r="I62" s="3" t="n">
        <v>80.8</v>
      </c>
      <c r="J62" s="3" t="n">
        <v>75.5</v>
      </c>
      <c r="K62" s="2" t="inlineStr">
        <is>
          <t>Format innovation detected; test similar approach next quarter</t>
        </is>
      </c>
    </row>
    <row r="63">
      <c r="A63" s="4" t="inlineStr">
        <is>
          <t>W13</t>
        </is>
      </c>
      <c r="B63" s="4" t="inlineStr">
        <is>
          <t>Marley Spoon</t>
        </is>
      </c>
      <c r="C63" s="4" t="inlineStr">
        <is>
          <t>Y</t>
        </is>
      </c>
      <c r="D63" s="4" t="inlineStr">
        <is>
          <t>Corporate gifting bulk discount</t>
        </is>
      </c>
      <c r="E63" s="5" t="inlineStr">
        <is>
          <t>Y</t>
        </is>
      </c>
      <c r="F63" s="5" t="n">
        <v>10.1</v>
      </c>
      <c r="G63" s="4" t="inlineStr"/>
      <c r="H63" s="5" t="inlineStr">
        <is>
          <t>N</t>
        </is>
      </c>
      <c r="I63" s="5" t="n">
        <v>76.3</v>
      </c>
      <c r="J63" s="5" t="n">
        <v>68.2</v>
      </c>
      <c r="K63" s="4" t="inlineStr">
        <is>
          <t>Budget concentration in specific channel; diversify spend</t>
        </is>
      </c>
    </row>
    <row r="64">
      <c r="A64" s="2" t="inlineStr">
        <is>
          <t>W13</t>
        </is>
      </c>
      <c r="B64" s="2" t="inlineStr">
        <is>
          <t>Farmy</t>
        </is>
      </c>
      <c r="C64" s="2" t="inlineStr">
        <is>
          <t>N</t>
        </is>
      </c>
      <c r="D64" s="2" t="inlineStr"/>
      <c r="E64" s="3" t="inlineStr">
        <is>
          <t>N</t>
        </is>
      </c>
      <c r="F64" s="3" t="n">
        <v>5.1</v>
      </c>
      <c r="G64" s="2" t="inlineStr"/>
      <c r="H64" s="3" t="inlineStr">
        <is>
          <t>N</t>
        </is>
      </c>
      <c r="I64" s="3" t="n">
        <v>91.8</v>
      </c>
      <c r="J64" s="3" t="n">
        <v>81.90000000000001</v>
      </c>
      <c r="K64" s="2" t="inlineStr">
        <is>
          <t>Promotion fatigue potential in market; emphasize quality over price</t>
        </is>
      </c>
    </row>
    <row r="65">
      <c r="A65" s="4" t="inlineStr">
        <is>
          <t>W13</t>
        </is>
      </c>
      <c r="B65" s="4" t="inlineStr">
        <is>
          <t>Alnatura Online</t>
        </is>
      </c>
      <c r="C65" s="4" t="inlineStr">
        <is>
          <t>Y</t>
        </is>
      </c>
      <c r="D65" s="4" t="inlineStr">
        <is>
          <t>Free shipping on orders over CHF 100</t>
        </is>
      </c>
      <c r="E65" s="5" t="inlineStr">
        <is>
          <t>Y</t>
        </is>
      </c>
      <c r="F65" s="5" t="n">
        <v>21.7</v>
      </c>
      <c r="G65" s="4" t="inlineStr"/>
      <c r="H65" s="5" t="inlineStr">
        <is>
          <t>Y</t>
        </is>
      </c>
      <c r="I65" s="5" t="n">
        <v>64.2</v>
      </c>
      <c r="J65" s="5" t="n">
        <v>82.5</v>
      </c>
      <c r="K65" s="4" t="inlineStr">
        <is>
          <t>New partnership threat; accelerate influencer program</t>
        </is>
      </c>
    </row>
    <row r="66">
      <c r="A66" s="2" t="inlineStr">
        <is>
          <t>W13</t>
        </is>
      </c>
      <c r="B66" s="2" t="inlineStr">
        <is>
          <t>Bio Partner</t>
        </is>
      </c>
      <c r="C66" s="2" t="inlineStr">
        <is>
          <t>N</t>
        </is>
      </c>
      <c r="D66" s="2" t="inlineStr"/>
      <c r="E66" s="3" t="inlineStr">
        <is>
          <t>Y</t>
        </is>
      </c>
      <c r="F66" s="3" t="n">
        <v>31.2</v>
      </c>
      <c r="G66" s="2" t="inlineStr">
        <is>
          <t>Snapchat AR lens filter</t>
        </is>
      </c>
      <c r="H66" s="3" t="inlineStr">
        <is>
          <t>Y</t>
        </is>
      </c>
      <c r="I66" s="3" t="n">
        <v>54.6</v>
      </c>
      <c r="J66" s="3" t="n">
        <v>26.2</v>
      </c>
      <c r="K66" s="2" t="inlineStr">
        <is>
          <t>New partnership threat; accelerate influencer program</t>
        </is>
      </c>
    </row>
    <row r="67">
      <c r="A67" s="4" t="inlineStr">
        <is>
          <t>W14</t>
        </is>
      </c>
      <c r="B67" s="4" t="inlineStr">
        <is>
          <t>HelloFresh CH</t>
        </is>
      </c>
      <c r="C67" s="4" t="inlineStr">
        <is>
          <t>N</t>
        </is>
      </c>
      <c r="D67" s="4" t="inlineStr"/>
      <c r="E67" s="5" t="inlineStr">
        <is>
          <t>Y</t>
        </is>
      </c>
      <c r="F67" s="5" t="n">
        <v>40.1</v>
      </c>
      <c r="G67" s="4" t="inlineStr"/>
      <c r="H67" s="5" t="inlineStr">
        <is>
          <t>N</t>
        </is>
      </c>
      <c r="I67" s="5" t="n">
        <v>57.1</v>
      </c>
      <c r="J67" s="5" t="n">
        <v>21.3</v>
      </c>
      <c r="K67" s="4" t="inlineStr">
        <is>
          <t>New audience segment activation; monitor LTV implications</t>
        </is>
      </c>
    </row>
    <row r="68">
      <c r="A68" s="2" t="inlineStr">
        <is>
          <t>W14</t>
        </is>
      </c>
      <c r="B68" s="2" t="inlineStr">
        <is>
          <t>Marley Spoon</t>
        </is>
      </c>
      <c r="C68" s="2" t="inlineStr">
        <is>
          <t>N</t>
        </is>
      </c>
      <c r="D68" s="2" t="inlineStr"/>
      <c r="E68" s="3" t="inlineStr">
        <is>
          <t>N</t>
        </is>
      </c>
      <c r="F68" s="3" t="n">
        <v>40.3</v>
      </c>
      <c r="G68" s="2" t="inlineStr">
        <is>
          <t>Reddit targeted community ads</t>
        </is>
      </c>
      <c r="H68" s="3" t="inlineStr">
        <is>
          <t>Y</t>
        </is>
      </c>
      <c r="I68" s="3" t="n">
        <v>25.7</v>
      </c>
      <c r="J68" s="3" t="n">
        <v>29.5</v>
      </c>
      <c r="K68" s="2" t="inlineStr">
        <is>
          <t>Market saturation in peak seasons; shift to off-peak targeting</t>
        </is>
      </c>
    </row>
    <row r="69">
      <c r="A69" s="4" t="inlineStr">
        <is>
          <t>W14</t>
        </is>
      </c>
      <c r="B69" s="4" t="inlineStr">
        <is>
          <t>Farmy</t>
        </is>
      </c>
      <c r="C69" s="4" t="inlineStr">
        <is>
          <t>N</t>
        </is>
      </c>
      <c r="D69" s="4" t="inlineStr"/>
      <c r="E69" s="5" t="inlineStr">
        <is>
          <t>Y</t>
        </is>
      </c>
      <c r="F69" s="5" t="n">
        <v>21.3</v>
      </c>
      <c r="G69" s="4" t="inlineStr"/>
      <c r="H69" s="5" t="inlineStr">
        <is>
          <t>N</t>
        </is>
      </c>
      <c r="I69" s="5" t="n">
        <v>34.2</v>
      </c>
      <c r="J69" s="5" t="n">
        <v>75.40000000000001</v>
      </c>
      <c r="K69" s="4" t="inlineStr">
        <is>
          <t>New audience segment activation; monitor LTV implications</t>
        </is>
      </c>
    </row>
    <row r="70">
      <c r="A70" s="2" t="inlineStr">
        <is>
          <t>W14</t>
        </is>
      </c>
      <c r="B70" s="2" t="inlineStr">
        <is>
          <t>Alnatura Online</t>
        </is>
      </c>
      <c r="C70" s="2" t="inlineStr">
        <is>
          <t>Y</t>
        </is>
      </c>
      <c r="D70" s="2" t="inlineStr">
        <is>
          <t>Student discount 15%</t>
        </is>
      </c>
      <c r="E70" s="3" t="inlineStr">
        <is>
          <t>N</t>
        </is>
      </c>
      <c r="F70" s="3" t="n">
        <v>23.7</v>
      </c>
      <c r="G70" s="2" t="inlineStr">
        <is>
          <t>Podcast sponsorship integration</t>
        </is>
      </c>
      <c r="H70" s="3" t="inlineStr">
        <is>
          <t>N</t>
        </is>
      </c>
      <c r="I70" s="3" t="n">
        <v>32.3</v>
      </c>
      <c r="J70" s="3" t="n">
        <v>13.5</v>
      </c>
      <c r="K70" s="2" t="inlineStr">
        <is>
          <t>Competitor weakness in retention; reinforce loyalty messaging</t>
        </is>
      </c>
    </row>
    <row r="71">
      <c r="A71" s="4" t="inlineStr">
        <is>
          <t>W14</t>
        </is>
      </c>
      <c r="B71" s="4" t="inlineStr">
        <is>
          <t>Bio Partner</t>
        </is>
      </c>
      <c r="C71" s="4" t="inlineStr">
        <is>
          <t>N</t>
        </is>
      </c>
      <c r="D71" s="4" t="inlineStr"/>
      <c r="E71" s="5" t="inlineStr">
        <is>
          <t>N</t>
        </is>
      </c>
      <c r="F71" s="5" t="n">
        <v>17.2</v>
      </c>
      <c r="G71" s="4" t="inlineStr"/>
      <c r="H71" s="5" t="inlineStr">
        <is>
          <t>N</t>
        </is>
      </c>
      <c r="I71" s="5" t="n">
        <v>52.1</v>
      </c>
      <c r="J71" s="5" t="n">
        <v>47.3</v>
      </c>
      <c r="K71" s="4" t="inlineStr">
        <is>
          <t>Promotion fatigue potential in market; emphasize quality over price</t>
        </is>
      </c>
    </row>
    <row r="72">
      <c r="A72" s="2" t="inlineStr">
        <is>
          <t>W15</t>
        </is>
      </c>
      <c r="B72" s="2" t="inlineStr">
        <is>
          <t>HelloFresh CH</t>
        </is>
      </c>
      <c r="C72" s="2" t="inlineStr">
        <is>
          <t>Y</t>
        </is>
      </c>
      <c r="D72" s="2" t="inlineStr">
        <is>
          <t>Partnership promotion with fitness brand</t>
        </is>
      </c>
      <c r="E72" s="3" t="inlineStr">
        <is>
          <t>N</t>
        </is>
      </c>
      <c r="F72" s="3" t="n">
        <v>23.9</v>
      </c>
      <c r="G72" s="2" t="inlineStr">
        <is>
          <t>Podcast sponsorship integration</t>
        </is>
      </c>
      <c r="H72" s="3" t="inlineStr">
        <is>
          <t>N</t>
        </is>
      </c>
      <c r="I72" s="3" t="n">
        <v>34.4</v>
      </c>
      <c r="J72" s="3" t="n">
        <v>46.7</v>
      </c>
      <c r="K72" s="2" t="inlineStr">
        <is>
          <t>Format innovation detected; test similar approach next quarter</t>
        </is>
      </c>
    </row>
    <row r="73">
      <c r="A73" s="4" t="inlineStr">
        <is>
          <t>W15</t>
        </is>
      </c>
      <c r="B73" s="4" t="inlineStr">
        <is>
          <t>Marley Spoon</t>
        </is>
      </c>
      <c r="C73" s="4" t="inlineStr">
        <is>
          <t>N</t>
        </is>
      </c>
      <c r="D73" s="4" t="inlineStr"/>
      <c r="E73" s="5" t="inlineStr">
        <is>
          <t>Y</t>
        </is>
      </c>
      <c r="F73" s="5" t="n">
        <v>26.3</v>
      </c>
      <c r="G73" s="4" t="inlineStr"/>
      <c r="H73" s="5" t="inlineStr">
        <is>
          <t>N</t>
        </is>
      </c>
      <c r="I73" s="5" t="n">
        <v>49.6</v>
      </c>
      <c r="J73" s="5" t="n">
        <v>13.3</v>
      </c>
      <c r="K73" s="4" t="inlineStr">
        <is>
          <t>CPC inflation indicates increased budget allocation; optimize targeting</t>
        </is>
      </c>
    </row>
    <row r="74">
      <c r="A74" s="2" t="inlineStr">
        <is>
          <t>W15</t>
        </is>
      </c>
      <c r="B74" s="2" t="inlineStr">
        <is>
          <t>Farmy</t>
        </is>
      </c>
      <c r="C74" s="2" t="inlineStr">
        <is>
          <t>Y</t>
        </is>
      </c>
      <c r="D74" s="2" t="inlineStr">
        <is>
          <t>First box 50% off for new subscribers</t>
        </is>
      </c>
      <c r="E74" s="3" t="inlineStr">
        <is>
          <t>Y</t>
        </is>
      </c>
      <c r="F74" s="3" t="n">
        <v>36.5</v>
      </c>
      <c r="G74" s="2" t="inlineStr"/>
      <c r="H74" s="3" t="inlineStr">
        <is>
          <t>N</t>
        </is>
      </c>
      <c r="I74" s="3" t="n">
        <v>15.6</v>
      </c>
      <c r="J74" s="3" t="n">
        <v>38.3</v>
      </c>
      <c r="K74" s="2" t="inlineStr">
        <is>
          <t>Competitor weakness in retention; reinforce loyalty messaging</t>
        </is>
      </c>
    </row>
    <row r="75">
      <c r="A75" s="4" t="inlineStr">
        <is>
          <t>W15</t>
        </is>
      </c>
      <c r="B75" s="4" t="inlineStr">
        <is>
          <t>Alnatura Online</t>
        </is>
      </c>
      <c r="C75" s="4" t="inlineStr">
        <is>
          <t>N</t>
        </is>
      </c>
      <c r="D75" s="4" t="inlineStr"/>
      <c r="E75" s="5" t="inlineStr">
        <is>
          <t>Y</t>
        </is>
      </c>
      <c r="F75" s="5" t="n">
        <v>17.3</v>
      </c>
      <c r="G75" s="4" t="inlineStr"/>
      <c r="H75" s="5" t="inlineStr">
        <is>
          <t>N</t>
        </is>
      </c>
      <c r="I75" s="5" t="n">
        <v>90.90000000000001</v>
      </c>
      <c r="J75" s="5" t="n">
        <v>31</v>
      </c>
      <c r="K75" s="4" t="inlineStr">
        <is>
          <t>Budget concentration in specific channel; diversify spend</t>
        </is>
      </c>
    </row>
    <row r="76">
      <c r="A76" s="2" t="inlineStr">
        <is>
          <t>W15</t>
        </is>
      </c>
      <c r="B76" s="2" t="inlineStr">
        <is>
          <t>Bio Partner</t>
        </is>
      </c>
      <c r="C76" s="2" t="inlineStr">
        <is>
          <t>N</t>
        </is>
      </c>
      <c r="D76" s="2" t="inlineStr"/>
      <c r="E76" s="3" t="inlineStr">
        <is>
          <t>N</t>
        </is>
      </c>
      <c r="F76" s="3" t="n">
        <v>5.6</v>
      </c>
      <c r="G76" s="2" t="inlineStr">
        <is>
          <t>TikTok Duet challenge</t>
        </is>
      </c>
      <c r="H76" s="3" t="inlineStr">
        <is>
          <t>N</t>
        </is>
      </c>
      <c r="I76" s="3" t="n">
        <v>21.8</v>
      </c>
      <c r="J76" s="3" t="n">
        <v>22.1</v>
      </c>
      <c r="K76" s="2" t="inlineStr">
        <is>
          <t>Audience overlap high; differentiate on brand values</t>
        </is>
      </c>
    </row>
    <row r="77">
      <c r="A77" s="4" t="inlineStr">
        <is>
          <t>W16</t>
        </is>
      </c>
      <c r="B77" s="4" t="inlineStr">
        <is>
          <t>HelloFresh CH</t>
        </is>
      </c>
      <c r="C77" s="4" t="inlineStr">
        <is>
          <t>N</t>
        </is>
      </c>
      <c r="D77" s="4" t="inlineStr"/>
      <c r="E77" s="5" t="inlineStr">
        <is>
          <t>N</t>
        </is>
      </c>
      <c r="F77" s="5" t="n">
        <v>35.2</v>
      </c>
      <c r="G77" s="4" t="inlineStr"/>
      <c r="H77" s="5" t="inlineStr">
        <is>
          <t>N</t>
        </is>
      </c>
      <c r="I77" s="5" t="n">
        <v>31.1</v>
      </c>
      <c r="J77" s="5" t="n">
        <v>42.7</v>
      </c>
      <c r="K77" s="4" t="inlineStr">
        <is>
          <t>CPC inflation indicates increased budget allocation; optimize targeting</t>
        </is>
      </c>
    </row>
    <row r="78">
      <c r="A78" s="2" t="inlineStr">
        <is>
          <t>W16</t>
        </is>
      </c>
      <c r="B78" s="2" t="inlineStr">
        <is>
          <t>Marley Spoon</t>
        </is>
      </c>
      <c r="C78" s="2" t="inlineStr">
        <is>
          <t>N</t>
        </is>
      </c>
      <c r="D78" s="2" t="inlineStr"/>
      <c r="E78" s="3" t="inlineStr">
        <is>
          <t>N</t>
        </is>
      </c>
      <c r="F78" s="3" t="n">
        <v>24.7</v>
      </c>
      <c r="G78" s="2" t="inlineStr"/>
      <c r="H78" s="3" t="inlineStr">
        <is>
          <t>N</t>
        </is>
      </c>
      <c r="I78" s="3" t="n">
        <v>84.09999999999999</v>
      </c>
      <c r="J78" s="3" t="n">
        <v>81.40000000000001</v>
      </c>
      <c r="K78" s="2" t="inlineStr">
        <is>
          <t>Competitor pricing pressure; consider bundle repositioning</t>
        </is>
      </c>
    </row>
    <row r="79">
      <c r="A79" s="4" t="inlineStr">
        <is>
          <t>W16</t>
        </is>
      </c>
      <c r="B79" s="4" t="inlineStr">
        <is>
          <t>Farmy</t>
        </is>
      </c>
      <c r="C79" s="4" t="inlineStr">
        <is>
          <t>N</t>
        </is>
      </c>
      <c r="D79" s="4" t="inlineStr"/>
      <c r="E79" s="5" t="inlineStr">
        <is>
          <t>N</t>
        </is>
      </c>
      <c r="F79" s="5" t="n">
        <v>10.9</v>
      </c>
      <c r="G79" s="4" t="inlineStr"/>
      <c r="H79" s="5" t="inlineStr">
        <is>
          <t>Y</t>
        </is>
      </c>
      <c r="I79" s="5" t="n">
        <v>56.9</v>
      </c>
      <c r="J79" s="5" t="n">
        <v>48.6</v>
      </c>
      <c r="K79" s="4" t="inlineStr">
        <is>
          <t>New audience segment activation; monitor LTV implications</t>
        </is>
      </c>
    </row>
    <row r="80">
      <c r="A80" s="2" t="inlineStr">
        <is>
          <t>W16</t>
        </is>
      </c>
      <c r="B80" s="2" t="inlineStr">
        <is>
          <t>Alnatura Online</t>
        </is>
      </c>
      <c r="C80" s="2" t="inlineStr">
        <is>
          <t>Y</t>
        </is>
      </c>
      <c r="D80" s="2" t="inlineStr">
        <is>
          <t>Partnership promotion with fitness brand</t>
        </is>
      </c>
      <c r="E80" s="3" t="inlineStr">
        <is>
          <t>N</t>
        </is>
      </c>
      <c r="F80" s="3" t="n">
        <v>11.3</v>
      </c>
      <c r="G80" s="2" t="inlineStr"/>
      <c r="H80" s="3" t="inlineStr">
        <is>
          <t>Y</t>
        </is>
      </c>
      <c r="I80" s="3" t="n">
        <v>64.59999999999999</v>
      </c>
      <c r="J80" s="3" t="n">
        <v>32</v>
      </c>
      <c r="K80" s="2" t="inlineStr">
        <is>
          <t>Competitor weakness in retention; reinforce loyalty messaging</t>
        </is>
      </c>
    </row>
    <row r="81">
      <c r="A81" s="4" t="inlineStr">
        <is>
          <t>W16</t>
        </is>
      </c>
      <c r="B81" s="4" t="inlineStr">
        <is>
          <t>Bio Partner</t>
        </is>
      </c>
      <c r="C81" s="4" t="inlineStr">
        <is>
          <t>N</t>
        </is>
      </c>
      <c r="D81" s="4" t="inlineStr"/>
      <c r="E81" s="5" t="inlineStr">
        <is>
          <t>N</t>
        </is>
      </c>
      <c r="F81" s="5" t="n">
        <v>33.3</v>
      </c>
      <c r="G81" s="4" t="inlineStr"/>
      <c r="H81" s="5" t="inlineStr">
        <is>
          <t>N</t>
        </is>
      </c>
      <c r="I81" s="5" t="n">
        <v>58.7</v>
      </c>
      <c r="J81" s="5" t="n">
        <v>38.1</v>
      </c>
      <c r="K81" s="4" t="inlineStr">
        <is>
          <t>Promotion fatigue potential in market; emphasize quality over price</t>
        </is>
      </c>
    </row>
    <row r="82">
      <c r="A82" s="2" t="inlineStr">
        <is>
          <t>W17</t>
        </is>
      </c>
      <c r="B82" s="2" t="inlineStr">
        <is>
          <t>HelloFresh CH</t>
        </is>
      </c>
      <c r="C82" s="2" t="inlineStr">
        <is>
          <t>N</t>
        </is>
      </c>
      <c r="D82" s="2" t="inlineStr"/>
      <c r="E82" s="3" t="inlineStr">
        <is>
          <t>N</t>
        </is>
      </c>
      <c r="F82" s="3" t="n">
        <v>29.6</v>
      </c>
      <c r="G82" s="2" t="inlineStr"/>
      <c r="H82" s="3" t="inlineStr">
        <is>
          <t>N</t>
        </is>
      </c>
      <c r="I82" s="3" t="n">
        <v>37.6</v>
      </c>
      <c r="J82" s="3" t="n">
        <v>20</v>
      </c>
      <c r="K82" s="2" t="inlineStr">
        <is>
          <t>Promotion fatigue potential in market; emphasize quality over price</t>
        </is>
      </c>
    </row>
    <row r="83">
      <c r="A83" s="4" t="inlineStr">
        <is>
          <t>W17</t>
        </is>
      </c>
      <c r="B83" s="4" t="inlineStr">
        <is>
          <t>Marley Spoon</t>
        </is>
      </c>
      <c r="C83" s="4" t="inlineStr">
        <is>
          <t>N</t>
        </is>
      </c>
      <c r="D83" s="4" t="inlineStr"/>
      <c r="E83" s="5" t="inlineStr">
        <is>
          <t>Y</t>
        </is>
      </c>
      <c r="F83" s="5" t="n">
        <v>41.7</v>
      </c>
      <c r="G83" s="4" t="inlineStr">
        <is>
          <t>TikTok Duet challenge</t>
        </is>
      </c>
      <c r="H83" s="5" t="inlineStr">
        <is>
          <t>N</t>
        </is>
      </c>
      <c r="I83" s="5" t="n">
        <v>49.9</v>
      </c>
      <c r="J83" s="5" t="n">
        <v>71.40000000000001</v>
      </c>
      <c r="K83" s="4" t="inlineStr">
        <is>
          <t>Market saturation in peak seasons; shift to off-peak targeting</t>
        </is>
      </c>
    </row>
    <row r="84">
      <c r="A84" s="2" t="inlineStr">
        <is>
          <t>W17</t>
        </is>
      </c>
      <c r="B84" s="2" t="inlineStr">
        <is>
          <t>Farmy</t>
        </is>
      </c>
      <c r="C84" s="2" t="inlineStr">
        <is>
          <t>N</t>
        </is>
      </c>
      <c r="D84" s="2" t="inlineStr"/>
      <c r="E84" s="3" t="inlineStr">
        <is>
          <t>N</t>
        </is>
      </c>
      <c r="F84" s="3" t="n">
        <v>28.2</v>
      </c>
      <c r="G84" s="2" t="inlineStr"/>
      <c r="H84" s="3" t="inlineStr">
        <is>
          <t>N</t>
        </is>
      </c>
      <c r="I84" s="3" t="n">
        <v>30.3</v>
      </c>
      <c r="J84" s="3" t="n">
        <v>60</v>
      </c>
      <c r="K84" s="2" t="inlineStr">
        <is>
          <t>New partnership threat; accelerate influencer program</t>
        </is>
      </c>
    </row>
    <row r="85">
      <c r="A85" s="4" t="inlineStr">
        <is>
          <t>W17</t>
        </is>
      </c>
      <c r="B85" s="4" t="inlineStr">
        <is>
          <t>Alnatura Online</t>
        </is>
      </c>
      <c r="C85" s="4" t="inlineStr">
        <is>
          <t>Y</t>
        </is>
      </c>
      <c r="D85" s="4" t="inlineStr">
        <is>
          <t>Free shipping on orders over CHF 100</t>
        </is>
      </c>
      <c r="E85" s="5" t="inlineStr">
        <is>
          <t>Y</t>
        </is>
      </c>
      <c r="F85" s="5" t="n">
        <v>16.8</v>
      </c>
      <c r="G85" s="4" t="inlineStr">
        <is>
          <t>Meta Reels with captions</t>
        </is>
      </c>
      <c r="H85" s="5" t="inlineStr">
        <is>
          <t>N</t>
        </is>
      </c>
      <c r="I85" s="5" t="n">
        <v>40.9</v>
      </c>
      <c r="J85" s="5" t="n">
        <v>57.5</v>
      </c>
      <c r="K85" s="4" t="inlineStr">
        <is>
          <t>Competitor weakness in retention; reinforce loyalty messaging</t>
        </is>
      </c>
    </row>
    <row r="86">
      <c r="A86" s="2" t="inlineStr">
        <is>
          <t>W17</t>
        </is>
      </c>
      <c r="B86" s="2" t="inlineStr">
        <is>
          <t>Bio Partner</t>
        </is>
      </c>
      <c r="C86" s="2" t="inlineStr">
        <is>
          <t>Y</t>
        </is>
      </c>
      <c r="D86" s="2" t="inlineStr">
        <is>
          <t>Family meal combo pricing</t>
        </is>
      </c>
      <c r="E86" s="3" t="inlineStr">
        <is>
          <t>N</t>
        </is>
      </c>
      <c r="F86" s="3" t="n">
        <v>14.5</v>
      </c>
      <c r="G86" s="2" t="inlineStr"/>
      <c r="H86" s="3" t="inlineStr">
        <is>
          <t>Y</t>
        </is>
      </c>
      <c r="I86" s="3" t="n">
        <v>79.90000000000001</v>
      </c>
      <c r="J86" s="3" t="n">
        <v>68.5</v>
      </c>
      <c r="K86" s="2" t="inlineStr">
        <is>
          <t>Promotion fatigue potential in market; emphasize quality over price</t>
        </is>
      </c>
    </row>
    <row r="87">
      <c r="A87" s="4" t="inlineStr">
        <is>
          <t>W18</t>
        </is>
      </c>
      <c r="B87" s="4" t="inlineStr">
        <is>
          <t>HelloFresh CH</t>
        </is>
      </c>
      <c r="C87" s="4" t="inlineStr">
        <is>
          <t>Y</t>
        </is>
      </c>
      <c r="D87" s="4" t="inlineStr">
        <is>
          <t>Family meal combo pricing</t>
        </is>
      </c>
      <c r="E87" s="5" t="inlineStr">
        <is>
          <t>Y</t>
        </is>
      </c>
      <c r="F87" s="5" t="n">
        <v>33.9</v>
      </c>
      <c r="G87" s="4" t="inlineStr">
        <is>
          <t>Interactive Stories on Instagram</t>
        </is>
      </c>
      <c r="H87" s="5" t="inlineStr">
        <is>
          <t>N</t>
        </is>
      </c>
      <c r="I87" s="5" t="n">
        <v>29</v>
      </c>
      <c r="J87" s="5" t="n">
        <v>60.2</v>
      </c>
      <c r="K87" s="4" t="inlineStr">
        <is>
          <t>New partnership threat; accelerate influencer program</t>
        </is>
      </c>
    </row>
    <row r="88">
      <c r="A88" s="2" t="inlineStr">
        <is>
          <t>W18</t>
        </is>
      </c>
      <c r="B88" s="2" t="inlineStr">
        <is>
          <t>Marley Spoon</t>
        </is>
      </c>
      <c r="C88" s="2" t="inlineStr">
        <is>
          <t>Y</t>
        </is>
      </c>
      <c r="D88" s="2" t="inlineStr">
        <is>
          <t>Free shipping on orders over CHF 100</t>
        </is>
      </c>
      <c r="E88" s="3" t="inlineStr">
        <is>
          <t>N</t>
        </is>
      </c>
      <c r="F88" s="3" t="n">
        <v>8</v>
      </c>
      <c r="G88" s="2" t="inlineStr"/>
      <c r="H88" s="3" t="inlineStr">
        <is>
          <t>N</t>
        </is>
      </c>
      <c r="I88" s="3" t="n">
        <v>59.4</v>
      </c>
      <c r="J88" s="3" t="n">
        <v>29.6</v>
      </c>
      <c r="K88" s="2" t="inlineStr">
        <is>
          <t>Competitor weakness in retention; reinforce loyalty messaging</t>
        </is>
      </c>
    </row>
    <row r="89">
      <c r="A89" s="4" t="inlineStr">
        <is>
          <t>W18</t>
        </is>
      </c>
      <c r="B89" s="4" t="inlineStr">
        <is>
          <t>Farmy</t>
        </is>
      </c>
      <c r="C89" s="4" t="inlineStr">
        <is>
          <t>N</t>
        </is>
      </c>
      <c r="D89" s="4" t="inlineStr"/>
      <c r="E89" s="5" t="inlineStr">
        <is>
          <t>N</t>
        </is>
      </c>
      <c r="F89" s="5" t="n">
        <v>23.3</v>
      </c>
      <c r="G89" s="4" t="inlineStr"/>
      <c r="H89" s="5" t="inlineStr">
        <is>
          <t>Y</t>
        </is>
      </c>
      <c r="I89" s="5" t="n">
        <v>55.6</v>
      </c>
      <c r="J89" s="5" t="n">
        <v>71.90000000000001</v>
      </c>
      <c r="K89" s="4" t="inlineStr">
        <is>
          <t>Competitor weakness in retention; reinforce loyalty messaging</t>
        </is>
      </c>
    </row>
    <row r="90">
      <c r="A90" s="2" t="inlineStr">
        <is>
          <t>W18</t>
        </is>
      </c>
      <c r="B90" s="2" t="inlineStr">
        <is>
          <t>Alnatura Online</t>
        </is>
      </c>
      <c r="C90" s="2" t="inlineStr">
        <is>
          <t>N</t>
        </is>
      </c>
      <c r="D90" s="2" t="inlineStr"/>
      <c r="E90" s="3" t="inlineStr">
        <is>
          <t>N</t>
        </is>
      </c>
      <c r="F90" s="3" t="n">
        <v>16.8</v>
      </c>
      <c r="G90" s="2" t="inlineStr"/>
      <c r="H90" s="3" t="inlineStr">
        <is>
          <t>Y</t>
        </is>
      </c>
      <c r="I90" s="3" t="n">
        <v>71.90000000000001</v>
      </c>
      <c r="J90" s="3" t="n">
        <v>44</v>
      </c>
      <c r="K90" s="2" t="inlineStr">
        <is>
          <t>New audience segment activation; monitor LTV implications</t>
        </is>
      </c>
    </row>
    <row r="91">
      <c r="A91" s="4" t="inlineStr">
        <is>
          <t>W18</t>
        </is>
      </c>
      <c r="B91" s="4" t="inlineStr">
        <is>
          <t>Bio Partner</t>
        </is>
      </c>
      <c r="C91" s="4" t="inlineStr">
        <is>
          <t>N</t>
        </is>
      </c>
      <c r="D91" s="4" t="inlineStr"/>
      <c r="E91" s="5" t="inlineStr">
        <is>
          <t>Y</t>
        </is>
      </c>
      <c r="F91" s="5" t="n">
        <v>40.4</v>
      </c>
      <c r="G91" s="4" t="inlineStr">
        <is>
          <t>Pinterest Idea Pin collections</t>
        </is>
      </c>
      <c r="H91" s="5" t="inlineStr">
        <is>
          <t>N</t>
        </is>
      </c>
      <c r="I91" s="5" t="n">
        <v>17.9</v>
      </c>
      <c r="J91" s="5" t="n">
        <v>84.2</v>
      </c>
      <c r="K91" s="4" t="inlineStr">
        <is>
          <t>New audience segment activation; monitor LTV implications</t>
        </is>
      </c>
    </row>
    <row r="92">
      <c r="A92" s="2" t="inlineStr">
        <is>
          <t>W19</t>
        </is>
      </c>
      <c r="B92" s="2" t="inlineStr">
        <is>
          <t>HelloFresh CH</t>
        </is>
      </c>
      <c r="C92" s="2" t="inlineStr">
        <is>
          <t>Y</t>
        </is>
      </c>
      <c r="D92" s="2" t="inlineStr">
        <is>
          <t>Free shipping on orders over CHF 100</t>
        </is>
      </c>
      <c r="E92" s="3" t="inlineStr">
        <is>
          <t>N</t>
        </is>
      </c>
      <c r="F92" s="3" t="n">
        <v>15.4</v>
      </c>
      <c r="G92" s="2" t="inlineStr"/>
      <c r="H92" s="3" t="inlineStr">
        <is>
          <t>Y</t>
        </is>
      </c>
      <c r="I92" s="3" t="n">
        <v>74.2</v>
      </c>
      <c r="J92" s="3" t="n">
        <v>62.1</v>
      </c>
      <c r="K92" s="2" t="inlineStr">
        <is>
          <t>Promotion fatigue potential in market; emphasize quality over price</t>
        </is>
      </c>
    </row>
    <row r="93">
      <c r="A93" s="4" t="inlineStr">
        <is>
          <t>W19</t>
        </is>
      </c>
      <c r="B93" s="4" t="inlineStr">
        <is>
          <t>Marley Spoon</t>
        </is>
      </c>
      <c r="C93" s="4" t="inlineStr">
        <is>
          <t>N</t>
        </is>
      </c>
      <c r="D93" s="4" t="inlineStr"/>
      <c r="E93" s="5" t="inlineStr">
        <is>
          <t>N</t>
        </is>
      </c>
      <c r="F93" s="5" t="n">
        <v>11.9</v>
      </c>
      <c r="G93" s="4" t="inlineStr"/>
      <c r="H93" s="5" t="inlineStr">
        <is>
          <t>N</t>
        </is>
      </c>
      <c r="I93" s="5" t="n">
        <v>32.6</v>
      </c>
      <c r="J93" s="5" t="n">
        <v>39.8</v>
      </c>
      <c r="K93" s="4" t="inlineStr">
        <is>
          <t>Format innovation detected; test similar approach next quarter</t>
        </is>
      </c>
    </row>
    <row r="94">
      <c r="A94" s="2" t="inlineStr">
        <is>
          <t>W19</t>
        </is>
      </c>
      <c r="B94" s="2" t="inlineStr">
        <is>
          <t>Farmy</t>
        </is>
      </c>
      <c r="C94" s="2" t="inlineStr">
        <is>
          <t>N</t>
        </is>
      </c>
      <c r="D94" s="2" t="inlineStr"/>
      <c r="E94" s="3" t="inlineStr">
        <is>
          <t>N</t>
        </is>
      </c>
      <c r="F94" s="3" t="n">
        <v>8.1</v>
      </c>
      <c r="G94" s="2" t="inlineStr"/>
      <c r="H94" s="3" t="inlineStr">
        <is>
          <t>N</t>
        </is>
      </c>
      <c r="I94" s="3" t="n">
        <v>52.5</v>
      </c>
      <c r="J94" s="3" t="n">
        <v>14.1</v>
      </c>
      <c r="K94" s="2" t="inlineStr">
        <is>
          <t>CPC inflation indicates increased budget allocation; optimize targeting</t>
        </is>
      </c>
    </row>
    <row r="95">
      <c r="A95" s="4" t="inlineStr">
        <is>
          <t>W19</t>
        </is>
      </c>
      <c r="B95" s="4" t="inlineStr">
        <is>
          <t>Alnatura Online</t>
        </is>
      </c>
      <c r="C95" s="4" t="inlineStr">
        <is>
          <t>N</t>
        </is>
      </c>
      <c r="D95" s="4" t="inlineStr"/>
      <c r="E95" s="5" t="inlineStr">
        <is>
          <t>N</t>
        </is>
      </c>
      <c r="F95" s="5" t="n">
        <v>38.2</v>
      </c>
      <c r="G95" s="4" t="inlineStr"/>
      <c r="H95" s="5" t="inlineStr">
        <is>
          <t>Y</t>
        </is>
      </c>
      <c r="I95" s="5" t="n">
        <v>36.8</v>
      </c>
      <c r="J95" s="5" t="n">
        <v>48.7</v>
      </c>
      <c r="K95" s="4" t="inlineStr">
        <is>
          <t>New audience segment activation; monitor LTV implications</t>
        </is>
      </c>
    </row>
    <row r="96">
      <c r="A96" s="2" t="inlineStr">
        <is>
          <t>W19</t>
        </is>
      </c>
      <c r="B96" s="2" t="inlineStr">
        <is>
          <t>Bio Partner</t>
        </is>
      </c>
      <c r="C96" s="2" t="inlineStr">
        <is>
          <t>N</t>
        </is>
      </c>
      <c r="D96" s="2" t="inlineStr"/>
      <c r="E96" s="3" t="inlineStr">
        <is>
          <t>Y</t>
        </is>
      </c>
      <c r="F96" s="3" t="n">
        <v>19.4</v>
      </c>
      <c r="G96" s="2" t="inlineStr"/>
      <c r="H96" s="3" t="inlineStr">
        <is>
          <t>N</t>
        </is>
      </c>
      <c r="I96" s="3" t="n">
        <v>92.5</v>
      </c>
      <c r="J96" s="3" t="n">
        <v>64.59999999999999</v>
      </c>
      <c r="K96" s="2" t="inlineStr">
        <is>
          <t>New audience segment activation; monitor LTV implications</t>
        </is>
      </c>
    </row>
    <row r="97">
      <c r="A97" s="4" t="inlineStr">
        <is>
          <t>W20</t>
        </is>
      </c>
      <c r="B97" s="4" t="inlineStr">
        <is>
          <t>HelloFresh CH</t>
        </is>
      </c>
      <c r="C97" s="4" t="inlineStr">
        <is>
          <t>Y</t>
        </is>
      </c>
      <c r="D97" s="4" t="inlineStr">
        <is>
          <t>Student discount 15%</t>
        </is>
      </c>
      <c r="E97" s="5" t="inlineStr">
        <is>
          <t>Y</t>
        </is>
      </c>
      <c r="F97" s="5" t="n">
        <v>19.1</v>
      </c>
      <c r="G97" s="4" t="inlineStr"/>
      <c r="H97" s="5" t="inlineStr">
        <is>
          <t>N</t>
        </is>
      </c>
      <c r="I97" s="5" t="n">
        <v>50.5</v>
      </c>
      <c r="J97" s="5" t="n">
        <v>55.6</v>
      </c>
      <c r="K97" s="4" t="inlineStr">
        <is>
          <t>Market saturation in peak seasons; shift to off-peak targeting</t>
        </is>
      </c>
    </row>
    <row r="98">
      <c r="A98" s="2" t="inlineStr">
        <is>
          <t>W20</t>
        </is>
      </c>
      <c r="B98" s="2" t="inlineStr">
        <is>
          <t>Marley Spoon</t>
        </is>
      </c>
      <c r="C98" s="2" t="inlineStr">
        <is>
          <t>Y</t>
        </is>
      </c>
      <c r="D98" s="2" t="inlineStr">
        <is>
          <t>Loyalty program launch</t>
        </is>
      </c>
      <c r="E98" s="3" t="inlineStr">
        <is>
          <t>N</t>
        </is>
      </c>
      <c r="F98" s="3" t="n">
        <v>5.4</v>
      </c>
      <c r="G98" s="2" t="inlineStr">
        <is>
          <t>Podcast sponsorship integration</t>
        </is>
      </c>
      <c r="H98" s="3" t="inlineStr">
        <is>
          <t>N</t>
        </is>
      </c>
      <c r="I98" s="3" t="n">
        <v>62.4</v>
      </c>
      <c r="J98" s="3" t="n">
        <v>32.3</v>
      </c>
      <c r="K98" s="2" t="inlineStr">
        <is>
          <t>Format innovation detected; test similar approach next quarter</t>
        </is>
      </c>
    </row>
    <row r="99">
      <c r="A99" s="4" t="inlineStr">
        <is>
          <t>W20</t>
        </is>
      </c>
      <c r="B99" s="4" t="inlineStr">
        <is>
          <t>Farmy</t>
        </is>
      </c>
      <c r="C99" s="4" t="inlineStr">
        <is>
          <t>N</t>
        </is>
      </c>
      <c r="D99" s="4" t="inlineStr"/>
      <c r="E99" s="5" t="inlineStr">
        <is>
          <t>N</t>
        </is>
      </c>
      <c r="F99" s="5" t="n">
        <v>15.3</v>
      </c>
      <c r="G99" s="4" t="inlineStr">
        <is>
          <t>YouTube Shorts with countdown timer</t>
        </is>
      </c>
      <c r="H99" s="5" t="inlineStr">
        <is>
          <t>N</t>
        </is>
      </c>
      <c r="I99" s="5" t="n">
        <v>61.3</v>
      </c>
      <c r="J99" s="5" t="n">
        <v>16.5</v>
      </c>
      <c r="K99" s="4" t="inlineStr">
        <is>
          <t>Budget concentration in specific channel; diversify spend</t>
        </is>
      </c>
    </row>
    <row r="100">
      <c r="A100" s="2" t="inlineStr">
        <is>
          <t>W20</t>
        </is>
      </c>
      <c r="B100" s="2" t="inlineStr">
        <is>
          <t>Alnatura Online</t>
        </is>
      </c>
      <c r="C100" s="2" t="inlineStr">
        <is>
          <t>Y</t>
        </is>
      </c>
      <c r="D100" s="2" t="inlineStr">
        <is>
          <t>Referral bonus CHF 25 credit</t>
        </is>
      </c>
      <c r="E100" s="3" t="inlineStr">
        <is>
          <t>Y</t>
        </is>
      </c>
      <c r="F100" s="3" t="n">
        <v>37.8</v>
      </c>
      <c r="G100" s="2" t="inlineStr"/>
      <c r="H100" s="3" t="inlineStr">
        <is>
          <t>N</t>
        </is>
      </c>
      <c r="I100" s="3" t="n">
        <v>68.3</v>
      </c>
      <c r="J100" s="3" t="n">
        <v>28.1</v>
      </c>
      <c r="K100" s="2" t="inlineStr">
        <is>
          <t>Competitor pricing pressure; consider bundle repositioning</t>
        </is>
      </c>
    </row>
    <row r="101">
      <c r="A101" s="4" t="inlineStr">
        <is>
          <t>W20</t>
        </is>
      </c>
      <c r="B101" s="4" t="inlineStr">
        <is>
          <t>Bio Partner</t>
        </is>
      </c>
      <c r="C101" s="4" t="inlineStr">
        <is>
          <t>N</t>
        </is>
      </c>
      <c r="D101" s="4" t="inlineStr"/>
      <c r="E101" s="5" t="inlineStr">
        <is>
          <t>N</t>
        </is>
      </c>
      <c r="F101" s="5" t="n">
        <v>10.2</v>
      </c>
      <c r="G101" s="4" t="inlineStr"/>
      <c r="H101" s="5" t="inlineStr">
        <is>
          <t>N</t>
        </is>
      </c>
      <c r="I101" s="5" t="n">
        <v>20.6</v>
      </c>
      <c r="J101" s="5" t="n">
        <v>73.2</v>
      </c>
      <c r="K101" s="4" t="inlineStr">
        <is>
          <t>Market saturation in peak seasons; shift to off-peak targeting</t>
        </is>
      </c>
    </row>
    <row r="102">
      <c r="A102" s="2" t="inlineStr">
        <is>
          <t>W21</t>
        </is>
      </c>
      <c r="B102" s="2" t="inlineStr">
        <is>
          <t>HelloFresh CH</t>
        </is>
      </c>
      <c r="C102" s="2" t="inlineStr">
        <is>
          <t>N</t>
        </is>
      </c>
      <c r="D102" s="2" t="inlineStr"/>
      <c r="E102" s="3" t="inlineStr">
        <is>
          <t>N</t>
        </is>
      </c>
      <c r="F102" s="3" t="n">
        <v>6.2</v>
      </c>
      <c r="G102" s="2" t="inlineStr"/>
      <c r="H102" s="3" t="inlineStr">
        <is>
          <t>N</t>
        </is>
      </c>
      <c r="I102" s="3" t="n">
        <v>57</v>
      </c>
      <c r="J102" s="3" t="n">
        <v>28.7</v>
      </c>
      <c r="K102" s="2" t="inlineStr">
        <is>
          <t>Competitor pricing pressure; consider bundle repositioning</t>
        </is>
      </c>
    </row>
    <row r="103">
      <c r="A103" s="4" t="inlineStr">
        <is>
          <t>W21</t>
        </is>
      </c>
      <c r="B103" s="4" t="inlineStr">
        <is>
          <t>Marley Spoon</t>
        </is>
      </c>
      <c r="C103" s="4" t="inlineStr">
        <is>
          <t>N</t>
        </is>
      </c>
      <c r="D103" s="4" t="inlineStr"/>
      <c r="E103" s="5" t="inlineStr">
        <is>
          <t>N</t>
        </is>
      </c>
      <c r="F103" s="5" t="n">
        <v>25.9</v>
      </c>
      <c r="G103" s="4" t="inlineStr">
        <is>
          <t>Google Shopping with video</t>
        </is>
      </c>
      <c r="H103" s="5" t="inlineStr">
        <is>
          <t>N</t>
        </is>
      </c>
      <c r="I103" s="5" t="n">
        <v>58.2</v>
      </c>
      <c r="J103" s="5" t="n">
        <v>18.6</v>
      </c>
      <c r="K103" s="4" t="inlineStr">
        <is>
          <t>CPC inflation indicates increased budget allocation; optimize targeting</t>
        </is>
      </c>
    </row>
    <row r="104">
      <c r="A104" s="2" t="inlineStr">
        <is>
          <t>W21</t>
        </is>
      </c>
      <c r="B104" s="2" t="inlineStr">
        <is>
          <t>Farmy</t>
        </is>
      </c>
      <c r="C104" s="2" t="inlineStr">
        <is>
          <t>N</t>
        </is>
      </c>
      <c r="D104" s="2" t="inlineStr"/>
      <c r="E104" s="3" t="inlineStr">
        <is>
          <t>N</t>
        </is>
      </c>
      <c r="F104" s="3" t="n">
        <v>12</v>
      </c>
      <c r="G104" s="2" t="inlineStr">
        <is>
          <t>LinkedIn carousel for B2B2C</t>
        </is>
      </c>
      <c r="H104" s="3" t="inlineStr">
        <is>
          <t>N</t>
        </is>
      </c>
      <c r="I104" s="3" t="n">
        <v>23.8</v>
      </c>
      <c r="J104" s="3" t="n">
        <v>55.5</v>
      </c>
      <c r="K104" s="2" t="inlineStr">
        <is>
          <t>CPC inflation indicates increased budget allocation; optimize targeting</t>
        </is>
      </c>
    </row>
    <row r="105">
      <c r="A105" s="4" t="inlineStr">
        <is>
          <t>W21</t>
        </is>
      </c>
      <c r="B105" s="4" t="inlineStr">
        <is>
          <t>Alnatura Online</t>
        </is>
      </c>
      <c r="C105" s="4" t="inlineStr">
        <is>
          <t>Y</t>
        </is>
      </c>
      <c r="D105" s="4" t="inlineStr">
        <is>
          <t>Free shipping on orders over CHF 100</t>
        </is>
      </c>
      <c r="E105" s="5" t="inlineStr">
        <is>
          <t>Y</t>
        </is>
      </c>
      <c r="F105" s="5" t="n">
        <v>29.6</v>
      </c>
      <c r="G105" s="4" t="inlineStr"/>
      <c r="H105" s="5" t="inlineStr">
        <is>
          <t>N</t>
        </is>
      </c>
      <c r="I105" s="5" t="n">
        <v>53.8</v>
      </c>
      <c r="J105" s="5" t="n">
        <v>78.40000000000001</v>
      </c>
      <c r="K105" s="4" t="inlineStr">
        <is>
          <t>Market saturation in peak seasons; shift to off-peak targeting</t>
        </is>
      </c>
    </row>
    <row r="106">
      <c r="A106" s="2" t="inlineStr">
        <is>
          <t>W21</t>
        </is>
      </c>
      <c r="B106" s="2" t="inlineStr">
        <is>
          <t>Bio Partner</t>
        </is>
      </c>
      <c r="C106" s="2" t="inlineStr">
        <is>
          <t>N</t>
        </is>
      </c>
      <c r="D106" s="2" t="inlineStr"/>
      <c r="E106" s="3" t="inlineStr">
        <is>
          <t>Y</t>
        </is>
      </c>
      <c r="F106" s="3" t="n">
        <v>19.5</v>
      </c>
      <c r="G106" s="2" t="inlineStr"/>
      <c r="H106" s="3" t="inlineStr">
        <is>
          <t>N</t>
        </is>
      </c>
      <c r="I106" s="3" t="n">
        <v>75.3</v>
      </c>
      <c r="J106" s="3" t="n">
        <v>41</v>
      </c>
      <c r="K106" s="2" t="inlineStr">
        <is>
          <t>Format innovation detected; test similar approach next quarter</t>
        </is>
      </c>
    </row>
    <row r="107">
      <c r="A107" s="4" t="inlineStr">
        <is>
          <t>W22</t>
        </is>
      </c>
      <c r="B107" s="4" t="inlineStr">
        <is>
          <t>HelloFresh CH</t>
        </is>
      </c>
      <c r="C107" s="4" t="inlineStr">
        <is>
          <t>N</t>
        </is>
      </c>
      <c r="D107" s="4" t="inlineStr"/>
      <c r="E107" s="5" t="inlineStr">
        <is>
          <t>N</t>
        </is>
      </c>
      <c r="F107" s="5" t="n">
        <v>23</v>
      </c>
      <c r="G107" s="4" t="inlineStr">
        <is>
          <t>Google Shopping with video</t>
        </is>
      </c>
      <c r="H107" s="5" t="inlineStr">
        <is>
          <t>Y</t>
        </is>
      </c>
      <c r="I107" s="5" t="n">
        <v>19.5</v>
      </c>
      <c r="J107" s="5" t="n">
        <v>82.09999999999999</v>
      </c>
      <c r="K107" s="4" t="inlineStr">
        <is>
          <t>Audience overlap high; differentiate on brand values</t>
        </is>
      </c>
    </row>
    <row r="108">
      <c r="A108" s="2" t="inlineStr">
        <is>
          <t>W22</t>
        </is>
      </c>
      <c r="B108" s="2" t="inlineStr">
        <is>
          <t>Marley Spoon</t>
        </is>
      </c>
      <c r="C108" s="2" t="inlineStr">
        <is>
          <t>N</t>
        </is>
      </c>
      <c r="D108" s="2" t="inlineStr"/>
      <c r="E108" s="3" t="inlineStr">
        <is>
          <t>N</t>
        </is>
      </c>
      <c r="F108" s="3" t="n">
        <v>9.4</v>
      </c>
      <c r="G108" s="2" t="inlineStr">
        <is>
          <t>Snapchat AR lens filter</t>
        </is>
      </c>
      <c r="H108" s="3" t="inlineStr">
        <is>
          <t>N</t>
        </is>
      </c>
      <c r="I108" s="3" t="n">
        <v>70.8</v>
      </c>
      <c r="J108" s="3" t="n">
        <v>75.90000000000001</v>
      </c>
      <c r="K108" s="2" t="inlineStr">
        <is>
          <t>Competitor weakness in retention; reinforce loyalty messaging</t>
        </is>
      </c>
    </row>
    <row r="109">
      <c r="A109" s="4" t="inlineStr">
        <is>
          <t>W22</t>
        </is>
      </c>
      <c r="B109" s="4" t="inlineStr">
        <is>
          <t>Farmy</t>
        </is>
      </c>
      <c r="C109" s="4" t="inlineStr">
        <is>
          <t>Y</t>
        </is>
      </c>
      <c r="D109" s="4" t="inlineStr">
        <is>
          <t>Partnership promotion with fitness brand</t>
        </is>
      </c>
      <c r="E109" s="5" t="inlineStr">
        <is>
          <t>Y</t>
        </is>
      </c>
      <c r="F109" s="5" t="n">
        <v>11.6</v>
      </c>
      <c r="G109" s="4" t="inlineStr">
        <is>
          <t>Meta Reels with captions</t>
        </is>
      </c>
      <c r="H109" s="5" t="inlineStr">
        <is>
          <t>Y</t>
        </is>
      </c>
      <c r="I109" s="5" t="n">
        <v>42.4</v>
      </c>
      <c r="J109" s="5" t="n">
        <v>43.6</v>
      </c>
      <c r="K109" s="4" t="inlineStr">
        <is>
          <t>CPC inflation indicates increased budget allocation; optimize targeting</t>
        </is>
      </c>
    </row>
    <row r="110">
      <c r="A110" s="2" t="inlineStr">
        <is>
          <t>W22</t>
        </is>
      </c>
      <c r="B110" s="2" t="inlineStr">
        <is>
          <t>Alnatura Online</t>
        </is>
      </c>
      <c r="C110" s="2" t="inlineStr">
        <is>
          <t>N</t>
        </is>
      </c>
      <c r="D110" s="2" t="inlineStr"/>
      <c r="E110" s="3" t="inlineStr">
        <is>
          <t>N</t>
        </is>
      </c>
      <c r="F110" s="3" t="n">
        <v>5.2</v>
      </c>
      <c r="G110" s="2" t="inlineStr"/>
      <c r="H110" s="3" t="inlineStr">
        <is>
          <t>N</t>
        </is>
      </c>
      <c r="I110" s="3" t="n">
        <v>53.5</v>
      </c>
      <c r="J110" s="3" t="n">
        <v>75.09999999999999</v>
      </c>
      <c r="K110" s="2" t="inlineStr">
        <is>
          <t>New partnership threat; accelerate influencer program</t>
        </is>
      </c>
    </row>
    <row r="111">
      <c r="A111" s="4" t="inlineStr">
        <is>
          <t>W22</t>
        </is>
      </c>
      <c r="B111" s="4" t="inlineStr">
        <is>
          <t>Bio Partner</t>
        </is>
      </c>
      <c r="C111" s="4" t="inlineStr">
        <is>
          <t>Y</t>
        </is>
      </c>
      <c r="D111" s="4" t="inlineStr">
        <is>
          <t>Seasonal limited-time offer</t>
        </is>
      </c>
      <c r="E111" s="5" t="inlineStr">
        <is>
          <t>N</t>
        </is>
      </c>
      <c r="F111" s="5" t="n">
        <v>37.2</v>
      </c>
      <c r="G111" s="4" t="inlineStr"/>
      <c r="H111" s="5" t="inlineStr">
        <is>
          <t>N</t>
        </is>
      </c>
      <c r="I111" s="5" t="n">
        <v>87.40000000000001</v>
      </c>
      <c r="J111" s="5" t="n">
        <v>15</v>
      </c>
      <c r="K111" s="4" t="inlineStr">
        <is>
          <t>CPC inflation indicates increased budget allocation; optimize targeting</t>
        </is>
      </c>
    </row>
    <row r="112">
      <c r="A112" s="2" t="inlineStr">
        <is>
          <t>W23</t>
        </is>
      </c>
      <c r="B112" s="2" t="inlineStr">
        <is>
          <t>HelloFresh CH</t>
        </is>
      </c>
      <c r="C112" s="2" t="inlineStr">
        <is>
          <t>N</t>
        </is>
      </c>
      <c r="D112" s="2" t="inlineStr"/>
      <c r="E112" s="3" t="inlineStr">
        <is>
          <t>Y</t>
        </is>
      </c>
      <c r="F112" s="3" t="n">
        <v>9.800000000000001</v>
      </c>
      <c r="G112" s="2" t="inlineStr"/>
      <c r="H112" s="3" t="inlineStr">
        <is>
          <t>N</t>
        </is>
      </c>
      <c r="I112" s="3" t="n">
        <v>70</v>
      </c>
      <c r="J112" s="3" t="n">
        <v>63.5</v>
      </c>
      <c r="K112" s="2" t="inlineStr">
        <is>
          <t>Audience overlap high; differentiate on brand values</t>
        </is>
      </c>
    </row>
    <row r="113">
      <c r="A113" s="4" t="inlineStr">
        <is>
          <t>W23</t>
        </is>
      </c>
      <c r="B113" s="4" t="inlineStr">
        <is>
          <t>Marley Spoon</t>
        </is>
      </c>
      <c r="C113" s="4" t="inlineStr">
        <is>
          <t>Y</t>
        </is>
      </c>
      <c r="D113" s="4" t="inlineStr">
        <is>
          <t>Corporate gifting bulk discount</t>
        </is>
      </c>
      <c r="E113" s="5" t="inlineStr">
        <is>
          <t>Y</t>
        </is>
      </c>
      <c r="F113" s="5" t="n">
        <v>12.8</v>
      </c>
      <c r="G113" s="4" t="inlineStr"/>
      <c r="H113" s="5" t="inlineStr">
        <is>
          <t>Y</t>
        </is>
      </c>
      <c r="I113" s="5" t="n">
        <v>15.9</v>
      </c>
      <c r="J113" s="5" t="n">
        <v>75.2</v>
      </c>
      <c r="K113" s="4" t="inlineStr">
        <is>
          <t>CPC inflation indicates increased budget allocation; optimize targeting</t>
        </is>
      </c>
    </row>
    <row r="114">
      <c r="A114" s="2" t="inlineStr">
        <is>
          <t>W23</t>
        </is>
      </c>
      <c r="B114" s="2" t="inlineStr">
        <is>
          <t>Farmy</t>
        </is>
      </c>
      <c r="C114" s="2" t="inlineStr">
        <is>
          <t>N</t>
        </is>
      </c>
      <c r="D114" s="2" t="inlineStr"/>
      <c r="E114" s="3" t="inlineStr">
        <is>
          <t>N</t>
        </is>
      </c>
      <c r="F114" s="3" t="n">
        <v>40.5</v>
      </c>
      <c r="G114" s="2" t="inlineStr"/>
      <c r="H114" s="3" t="inlineStr">
        <is>
          <t>N</t>
        </is>
      </c>
      <c r="I114" s="3" t="n">
        <v>47.9</v>
      </c>
      <c r="J114" s="3" t="n">
        <v>57.1</v>
      </c>
      <c r="K114" s="2" t="inlineStr">
        <is>
          <t>Competitor weakness in retention; reinforce loyalty messaging</t>
        </is>
      </c>
    </row>
    <row r="115">
      <c r="A115" s="4" t="inlineStr">
        <is>
          <t>W23</t>
        </is>
      </c>
      <c r="B115" s="4" t="inlineStr">
        <is>
          <t>Alnatura Online</t>
        </is>
      </c>
      <c r="C115" s="4" t="inlineStr">
        <is>
          <t>Y</t>
        </is>
      </c>
      <c r="D115" s="4" t="inlineStr">
        <is>
          <t>Partnership promotion with fitness brand</t>
        </is>
      </c>
      <c r="E115" s="5" t="inlineStr">
        <is>
          <t>Y</t>
        </is>
      </c>
      <c r="F115" s="5" t="n">
        <v>18.6</v>
      </c>
      <c r="G115" s="4" t="inlineStr"/>
      <c r="H115" s="5" t="inlineStr">
        <is>
          <t>Y</t>
        </is>
      </c>
      <c r="I115" s="5" t="n">
        <v>52.1</v>
      </c>
      <c r="J115" s="5" t="n">
        <v>24.4</v>
      </c>
      <c r="K115" s="4" t="inlineStr">
        <is>
          <t>New partnership threat; accelerate influencer program</t>
        </is>
      </c>
    </row>
    <row r="116">
      <c r="A116" s="2" t="inlineStr">
        <is>
          <t>W23</t>
        </is>
      </c>
      <c r="B116" s="2" t="inlineStr">
        <is>
          <t>Bio Partner</t>
        </is>
      </c>
      <c r="C116" s="2" t="inlineStr">
        <is>
          <t>Y</t>
        </is>
      </c>
      <c r="D116" s="2" t="inlineStr">
        <is>
          <t>First box 50% off for new subscribers</t>
        </is>
      </c>
      <c r="E116" s="3" t="inlineStr">
        <is>
          <t>N</t>
        </is>
      </c>
      <c r="F116" s="3" t="n">
        <v>32.5</v>
      </c>
      <c r="G116" s="2" t="inlineStr">
        <is>
          <t>Pinterest Idea Pin collections</t>
        </is>
      </c>
      <c r="H116" s="3" t="inlineStr">
        <is>
          <t>N</t>
        </is>
      </c>
      <c r="I116" s="3" t="n">
        <v>42.6</v>
      </c>
      <c r="J116" s="3" t="n">
        <v>62.1</v>
      </c>
      <c r="K116" s="2" t="inlineStr">
        <is>
          <t>New partnership threat; accelerate influencer program</t>
        </is>
      </c>
    </row>
    <row r="117">
      <c r="A117" s="4" t="inlineStr">
        <is>
          <t>W24</t>
        </is>
      </c>
      <c r="B117" s="4" t="inlineStr">
        <is>
          <t>HelloFresh CH</t>
        </is>
      </c>
      <c r="C117" s="4" t="inlineStr">
        <is>
          <t>Y</t>
        </is>
      </c>
      <c r="D117" s="4" t="inlineStr">
        <is>
          <t>Corporate gifting bulk discount</t>
        </is>
      </c>
      <c r="E117" s="5" t="inlineStr">
        <is>
          <t>N</t>
        </is>
      </c>
      <c r="F117" s="5" t="n">
        <v>12</v>
      </c>
      <c r="G117" s="4" t="inlineStr"/>
      <c r="H117" s="5" t="inlineStr">
        <is>
          <t>N</t>
        </is>
      </c>
      <c r="I117" s="5" t="n">
        <v>27</v>
      </c>
      <c r="J117" s="5" t="n">
        <v>68.7</v>
      </c>
      <c r="K117" s="4" t="inlineStr">
        <is>
          <t>Market saturation in peak seasons; shift to off-peak targeting</t>
        </is>
      </c>
    </row>
    <row r="118">
      <c r="A118" s="2" t="inlineStr">
        <is>
          <t>W24</t>
        </is>
      </c>
      <c r="B118" s="2" t="inlineStr">
        <is>
          <t>Marley Spoon</t>
        </is>
      </c>
      <c r="C118" s="2" t="inlineStr">
        <is>
          <t>N</t>
        </is>
      </c>
      <c r="D118" s="2" t="inlineStr"/>
      <c r="E118" s="3" t="inlineStr">
        <is>
          <t>Y</t>
        </is>
      </c>
      <c r="F118" s="3" t="n">
        <v>39.7</v>
      </c>
      <c r="G118" s="2" t="inlineStr">
        <is>
          <t>YouTube Shorts with countdown timer</t>
        </is>
      </c>
      <c r="H118" s="3" t="inlineStr">
        <is>
          <t>N</t>
        </is>
      </c>
      <c r="I118" s="3" t="n">
        <v>61.7</v>
      </c>
      <c r="J118" s="3" t="n">
        <v>75.90000000000001</v>
      </c>
      <c r="K118" s="2" t="inlineStr">
        <is>
          <t>Budget concentration in specific channel; diversify spend</t>
        </is>
      </c>
    </row>
    <row r="119">
      <c r="A119" s="4" t="inlineStr">
        <is>
          <t>W24</t>
        </is>
      </c>
      <c r="B119" s="4" t="inlineStr">
        <is>
          <t>Farmy</t>
        </is>
      </c>
      <c r="C119" s="4" t="inlineStr">
        <is>
          <t>Y</t>
        </is>
      </c>
      <c r="D119" s="4" t="inlineStr">
        <is>
          <t>Bundle discount (2 boxes at 20% off)</t>
        </is>
      </c>
      <c r="E119" s="5" t="inlineStr">
        <is>
          <t>N</t>
        </is>
      </c>
      <c r="F119" s="5" t="n">
        <v>10.9</v>
      </c>
      <c r="G119" s="4" t="inlineStr"/>
      <c r="H119" s="5" t="inlineStr">
        <is>
          <t>N</t>
        </is>
      </c>
      <c r="I119" s="5" t="n">
        <v>93.8</v>
      </c>
      <c r="J119" s="5" t="n">
        <v>49</v>
      </c>
      <c r="K119" s="4" t="inlineStr">
        <is>
          <t>Market saturation in peak seasons; shift to off-peak targeting</t>
        </is>
      </c>
    </row>
    <row r="120">
      <c r="A120" s="2" t="inlineStr">
        <is>
          <t>W24</t>
        </is>
      </c>
      <c r="B120" s="2" t="inlineStr">
        <is>
          <t>Alnatura Online</t>
        </is>
      </c>
      <c r="C120" s="2" t="inlineStr">
        <is>
          <t>N</t>
        </is>
      </c>
      <c r="D120" s="2" t="inlineStr"/>
      <c r="E120" s="3" t="inlineStr">
        <is>
          <t>Y</t>
        </is>
      </c>
      <c r="F120" s="3" t="n">
        <v>8.6</v>
      </c>
      <c r="G120" s="2" t="inlineStr"/>
      <c r="H120" s="3" t="inlineStr">
        <is>
          <t>N</t>
        </is>
      </c>
      <c r="I120" s="3" t="n">
        <v>69.3</v>
      </c>
      <c r="J120" s="3" t="n">
        <v>68.8</v>
      </c>
      <c r="K120" s="2" t="inlineStr">
        <is>
          <t>New audience segment activation; monitor LTV implications</t>
        </is>
      </c>
    </row>
    <row r="121">
      <c r="A121" s="4" t="inlineStr">
        <is>
          <t>W24</t>
        </is>
      </c>
      <c r="B121" s="4" t="inlineStr">
        <is>
          <t>Bio Partner</t>
        </is>
      </c>
      <c r="C121" s="4" t="inlineStr">
        <is>
          <t>Y</t>
        </is>
      </c>
      <c r="D121" s="4" t="inlineStr">
        <is>
          <t>Corporate gifting bulk discount</t>
        </is>
      </c>
      <c r="E121" s="5" t="inlineStr">
        <is>
          <t>Y</t>
        </is>
      </c>
      <c r="F121" s="5" t="n">
        <v>39.1</v>
      </c>
      <c r="G121" s="4" t="inlineStr"/>
      <c r="H121" s="5" t="inlineStr">
        <is>
          <t>N</t>
        </is>
      </c>
      <c r="I121" s="5" t="n">
        <v>25.5</v>
      </c>
      <c r="J121" s="5" t="n">
        <v>56.8</v>
      </c>
      <c r="K121" s="4" t="inlineStr">
        <is>
          <t>Format innovation detected; test similar approach next quarter</t>
        </is>
      </c>
    </row>
    <row r="122">
      <c r="A122" s="2" t="inlineStr">
        <is>
          <t>W25</t>
        </is>
      </c>
      <c r="B122" s="2" t="inlineStr">
        <is>
          <t>HelloFresh CH</t>
        </is>
      </c>
      <c r="C122" s="2" t="inlineStr">
        <is>
          <t>N</t>
        </is>
      </c>
      <c r="D122" s="2" t="inlineStr"/>
      <c r="E122" s="3" t="inlineStr">
        <is>
          <t>Y</t>
        </is>
      </c>
      <c r="F122" s="3" t="n">
        <v>44.9</v>
      </c>
      <c r="G122" s="2" t="inlineStr"/>
      <c r="H122" s="3" t="inlineStr">
        <is>
          <t>N</t>
        </is>
      </c>
      <c r="I122" s="3" t="n">
        <v>62.7</v>
      </c>
      <c r="J122" s="3" t="n">
        <v>50.9</v>
      </c>
      <c r="K122" s="2" t="inlineStr">
        <is>
          <t>Format innovation detected; test similar approach next quarter</t>
        </is>
      </c>
    </row>
    <row r="123">
      <c r="A123" s="4" t="inlineStr">
        <is>
          <t>W25</t>
        </is>
      </c>
      <c r="B123" s="4" t="inlineStr">
        <is>
          <t>Marley Spoon</t>
        </is>
      </c>
      <c r="C123" s="4" t="inlineStr">
        <is>
          <t>N</t>
        </is>
      </c>
      <c r="D123" s="4" t="inlineStr"/>
      <c r="E123" s="5" t="inlineStr">
        <is>
          <t>Y</t>
        </is>
      </c>
      <c r="F123" s="5" t="n">
        <v>21.6</v>
      </c>
      <c r="G123" s="4" t="inlineStr"/>
      <c r="H123" s="5" t="inlineStr">
        <is>
          <t>N</t>
        </is>
      </c>
      <c r="I123" s="5" t="n">
        <v>61.9</v>
      </c>
      <c r="J123" s="5" t="n">
        <v>26.3</v>
      </c>
      <c r="K123" s="4" t="inlineStr">
        <is>
          <t>New audience segment activation; monitor LTV implications</t>
        </is>
      </c>
    </row>
    <row r="124">
      <c r="A124" s="2" t="inlineStr">
        <is>
          <t>W25</t>
        </is>
      </c>
      <c r="B124" s="2" t="inlineStr">
        <is>
          <t>Farmy</t>
        </is>
      </c>
      <c r="C124" s="2" t="inlineStr">
        <is>
          <t>Y</t>
        </is>
      </c>
      <c r="D124" s="2" t="inlineStr">
        <is>
          <t>Bundle discount (2 boxes at 20% off)</t>
        </is>
      </c>
      <c r="E124" s="3" t="inlineStr">
        <is>
          <t>N</t>
        </is>
      </c>
      <c r="F124" s="3" t="n">
        <v>31.5</v>
      </c>
      <c r="G124" s="2" t="inlineStr"/>
      <c r="H124" s="3" t="inlineStr">
        <is>
          <t>Y</t>
        </is>
      </c>
      <c r="I124" s="3" t="n">
        <v>71.3</v>
      </c>
      <c r="J124" s="3" t="n">
        <v>49.4</v>
      </c>
      <c r="K124" s="2" t="inlineStr">
        <is>
          <t>Competitor weakness in retention; reinforce loyalty messaging</t>
        </is>
      </c>
    </row>
    <row r="125">
      <c r="A125" s="4" t="inlineStr">
        <is>
          <t>W25</t>
        </is>
      </c>
      <c r="B125" s="4" t="inlineStr">
        <is>
          <t>Alnatura Online</t>
        </is>
      </c>
      <c r="C125" s="4" t="inlineStr">
        <is>
          <t>Y</t>
        </is>
      </c>
      <c r="D125" s="4" t="inlineStr">
        <is>
          <t>Referral bonus CHF 25 credit</t>
        </is>
      </c>
      <c r="E125" s="5" t="inlineStr">
        <is>
          <t>N</t>
        </is>
      </c>
      <c r="F125" s="5" t="n">
        <v>43.8</v>
      </c>
      <c r="G125" s="4" t="inlineStr"/>
      <c r="H125" s="5" t="inlineStr">
        <is>
          <t>N</t>
        </is>
      </c>
      <c r="I125" s="5" t="n">
        <v>40.3</v>
      </c>
      <c r="J125" s="5" t="n">
        <v>84.90000000000001</v>
      </c>
      <c r="K125" s="4" t="inlineStr">
        <is>
          <t>Budget concentration in specific channel; diversify spend</t>
        </is>
      </c>
    </row>
    <row r="126">
      <c r="A126" s="2" t="inlineStr">
        <is>
          <t>W25</t>
        </is>
      </c>
      <c r="B126" s="2" t="inlineStr">
        <is>
          <t>Bio Partner</t>
        </is>
      </c>
      <c r="C126" s="2" t="inlineStr">
        <is>
          <t>N</t>
        </is>
      </c>
      <c r="D126" s="2" t="inlineStr"/>
      <c r="E126" s="3" t="inlineStr">
        <is>
          <t>Y</t>
        </is>
      </c>
      <c r="F126" s="3" t="n">
        <v>31.6</v>
      </c>
      <c r="G126" s="2" t="inlineStr"/>
      <c r="H126" s="3" t="inlineStr">
        <is>
          <t>Y</t>
        </is>
      </c>
      <c r="I126" s="3" t="n">
        <v>15.6</v>
      </c>
      <c r="J126" s="3" t="n">
        <v>18.8</v>
      </c>
      <c r="K126" s="2" t="inlineStr">
        <is>
          <t>Format innovation detected; test similar approach next quarter</t>
        </is>
      </c>
    </row>
    <row r="127">
      <c r="A127" s="4" t="inlineStr">
        <is>
          <t>W26</t>
        </is>
      </c>
      <c r="B127" s="4" t="inlineStr">
        <is>
          <t>HelloFresh CH</t>
        </is>
      </c>
      <c r="C127" s="4" t="inlineStr">
        <is>
          <t>N</t>
        </is>
      </c>
      <c r="D127" s="4" t="inlineStr"/>
      <c r="E127" s="5" t="inlineStr">
        <is>
          <t>Y</t>
        </is>
      </c>
      <c r="F127" s="5" t="n">
        <v>21</v>
      </c>
      <c r="G127" s="4" t="inlineStr"/>
      <c r="H127" s="5" t="inlineStr">
        <is>
          <t>N</t>
        </is>
      </c>
      <c r="I127" s="5" t="n">
        <v>42.8</v>
      </c>
      <c r="J127" s="5" t="n">
        <v>62.5</v>
      </c>
      <c r="K127" s="4" t="inlineStr">
        <is>
          <t>Promotion fatigue potential in market; emphasize quality over price</t>
        </is>
      </c>
    </row>
    <row r="128">
      <c r="A128" s="2" t="inlineStr">
        <is>
          <t>W26</t>
        </is>
      </c>
      <c r="B128" s="2" t="inlineStr">
        <is>
          <t>Marley Spoon</t>
        </is>
      </c>
      <c r="C128" s="2" t="inlineStr">
        <is>
          <t>N</t>
        </is>
      </c>
      <c r="D128" s="2" t="inlineStr"/>
      <c r="E128" s="3" t="inlineStr">
        <is>
          <t>N</t>
        </is>
      </c>
      <c r="F128" s="3" t="n">
        <v>44.3</v>
      </c>
      <c r="G128" s="2" t="inlineStr"/>
      <c r="H128" s="3" t="inlineStr">
        <is>
          <t>Y</t>
        </is>
      </c>
      <c r="I128" s="3" t="n">
        <v>63.3</v>
      </c>
      <c r="J128" s="3" t="n">
        <v>68.59999999999999</v>
      </c>
      <c r="K128" s="2" t="inlineStr">
        <is>
          <t>Format innovation detected; test similar approach next quarter</t>
        </is>
      </c>
    </row>
    <row r="129">
      <c r="A129" s="4" t="inlineStr">
        <is>
          <t>W26</t>
        </is>
      </c>
      <c r="B129" s="4" t="inlineStr">
        <is>
          <t>Farmy</t>
        </is>
      </c>
      <c r="C129" s="4" t="inlineStr">
        <is>
          <t>N</t>
        </is>
      </c>
      <c r="D129" s="4" t="inlineStr"/>
      <c r="E129" s="5" t="inlineStr">
        <is>
          <t>N</t>
        </is>
      </c>
      <c r="F129" s="5" t="n">
        <v>39.3</v>
      </c>
      <c r="G129" s="4" t="inlineStr"/>
      <c r="H129" s="5" t="inlineStr">
        <is>
          <t>N</t>
        </is>
      </c>
      <c r="I129" s="5" t="n">
        <v>76</v>
      </c>
      <c r="J129" s="5" t="n">
        <v>44.3</v>
      </c>
      <c r="K129" s="4" t="inlineStr">
        <is>
          <t>CPC inflation indicates increased budget allocation; optimize targeting</t>
        </is>
      </c>
    </row>
    <row r="130">
      <c r="A130" s="2" t="inlineStr">
        <is>
          <t>W26</t>
        </is>
      </c>
      <c r="B130" s="2" t="inlineStr">
        <is>
          <t>Alnatura Online</t>
        </is>
      </c>
      <c r="C130" s="2" t="inlineStr">
        <is>
          <t>N</t>
        </is>
      </c>
      <c r="D130" s="2" t="inlineStr"/>
      <c r="E130" s="3" t="inlineStr">
        <is>
          <t>N</t>
        </is>
      </c>
      <c r="F130" s="3" t="n">
        <v>23.4</v>
      </c>
      <c r="G130" s="2" t="inlineStr"/>
      <c r="H130" s="3" t="inlineStr">
        <is>
          <t>N</t>
        </is>
      </c>
      <c r="I130" s="3" t="n">
        <v>62.8</v>
      </c>
      <c r="J130" s="3" t="n">
        <v>52.2</v>
      </c>
      <c r="K130" s="2" t="inlineStr">
        <is>
          <t>Competitor pricing pressure; consider bundle repositioning</t>
        </is>
      </c>
    </row>
    <row r="131">
      <c r="A131" s="4" t="inlineStr">
        <is>
          <t>W26</t>
        </is>
      </c>
      <c r="B131" s="4" t="inlineStr">
        <is>
          <t>Bio Partner</t>
        </is>
      </c>
      <c r="C131" s="4" t="inlineStr">
        <is>
          <t>Y</t>
        </is>
      </c>
      <c r="D131" s="4" t="inlineStr">
        <is>
          <t>Family meal combo pricing</t>
        </is>
      </c>
      <c r="E131" s="5" t="inlineStr">
        <is>
          <t>N</t>
        </is>
      </c>
      <c r="F131" s="5" t="n">
        <v>36</v>
      </c>
      <c r="G131" s="4" t="inlineStr">
        <is>
          <t>Google Shopping with video</t>
        </is>
      </c>
      <c r="H131" s="5" t="inlineStr">
        <is>
          <t>Y</t>
        </is>
      </c>
      <c r="I131" s="5" t="n">
        <v>56.7</v>
      </c>
      <c r="J131" s="5" t="n">
        <v>52.2</v>
      </c>
      <c r="K131" s="4" t="inlineStr">
        <is>
          <t>New partnership threat; accelerate influencer program</t>
        </is>
      </c>
    </row>
    <row r="132">
      <c r="A132" s="2" t="inlineStr">
        <is>
          <t>W27</t>
        </is>
      </c>
      <c r="B132" s="2" t="inlineStr">
        <is>
          <t>HelloFresh CH</t>
        </is>
      </c>
      <c r="C132" s="2" t="inlineStr">
        <is>
          <t>N</t>
        </is>
      </c>
      <c r="D132" s="2" t="inlineStr"/>
      <c r="E132" s="3" t="inlineStr">
        <is>
          <t>Y</t>
        </is>
      </c>
      <c r="F132" s="3" t="n">
        <v>39.4</v>
      </c>
      <c r="G132" s="2" t="inlineStr"/>
      <c r="H132" s="3" t="inlineStr">
        <is>
          <t>N</t>
        </is>
      </c>
      <c r="I132" s="3" t="n">
        <v>70</v>
      </c>
      <c r="J132" s="3" t="n">
        <v>72.3</v>
      </c>
      <c r="K132" s="2" t="inlineStr">
        <is>
          <t>Budget concentration in specific channel; diversify spend</t>
        </is>
      </c>
    </row>
    <row r="133">
      <c r="A133" s="4" t="inlineStr">
        <is>
          <t>W27</t>
        </is>
      </c>
      <c r="B133" s="4" t="inlineStr">
        <is>
          <t>Marley Spoon</t>
        </is>
      </c>
      <c r="C133" s="4" t="inlineStr">
        <is>
          <t>N</t>
        </is>
      </c>
      <c r="D133" s="4" t="inlineStr"/>
      <c r="E133" s="5" t="inlineStr">
        <is>
          <t>Y</t>
        </is>
      </c>
      <c r="F133" s="5" t="n">
        <v>43.1</v>
      </c>
      <c r="G133" s="4" t="inlineStr"/>
      <c r="H133" s="5" t="inlineStr">
        <is>
          <t>N</t>
        </is>
      </c>
      <c r="I133" s="5" t="n">
        <v>37.3</v>
      </c>
      <c r="J133" s="5" t="n">
        <v>37.8</v>
      </c>
      <c r="K133" s="4" t="inlineStr">
        <is>
          <t>Competitor pricing pressure; consider bundle repositioning</t>
        </is>
      </c>
    </row>
    <row r="134">
      <c r="A134" s="2" t="inlineStr">
        <is>
          <t>W27</t>
        </is>
      </c>
      <c r="B134" s="2" t="inlineStr">
        <is>
          <t>Farmy</t>
        </is>
      </c>
      <c r="C134" s="2" t="inlineStr">
        <is>
          <t>N</t>
        </is>
      </c>
      <c r="D134" s="2" t="inlineStr"/>
      <c r="E134" s="3" t="inlineStr">
        <is>
          <t>N</t>
        </is>
      </c>
      <c r="F134" s="3" t="n">
        <v>27.6</v>
      </c>
      <c r="G134" s="2" t="inlineStr">
        <is>
          <t>Meta Reels with captions</t>
        </is>
      </c>
      <c r="H134" s="3" t="inlineStr">
        <is>
          <t>N</t>
        </is>
      </c>
      <c r="I134" s="3" t="n">
        <v>26.5</v>
      </c>
      <c r="J134" s="3" t="n">
        <v>77.2</v>
      </c>
      <c r="K134" s="2" t="inlineStr">
        <is>
          <t>Market saturation in peak seasons; shift to off-peak targeting</t>
        </is>
      </c>
    </row>
    <row r="135">
      <c r="A135" s="4" t="inlineStr">
        <is>
          <t>W27</t>
        </is>
      </c>
      <c r="B135" s="4" t="inlineStr">
        <is>
          <t>Alnatura Online</t>
        </is>
      </c>
      <c r="C135" s="4" t="inlineStr">
        <is>
          <t>Y</t>
        </is>
      </c>
      <c r="D135" s="4" t="inlineStr">
        <is>
          <t>Corporate gifting bulk discount</t>
        </is>
      </c>
      <c r="E135" s="5" t="inlineStr">
        <is>
          <t>Y</t>
        </is>
      </c>
      <c r="F135" s="5" t="n">
        <v>8.5</v>
      </c>
      <c r="G135" s="4" t="inlineStr"/>
      <c r="H135" s="5" t="inlineStr">
        <is>
          <t>Y</t>
        </is>
      </c>
      <c r="I135" s="5" t="n">
        <v>90.5</v>
      </c>
      <c r="J135" s="5" t="n">
        <v>20.7</v>
      </c>
      <c r="K135" s="4" t="inlineStr">
        <is>
          <t>New audience segment activation; monitor LTV implications</t>
        </is>
      </c>
    </row>
    <row r="136">
      <c r="A136" s="2" t="inlineStr">
        <is>
          <t>W27</t>
        </is>
      </c>
      <c r="B136" s="2" t="inlineStr">
        <is>
          <t>Bio Partner</t>
        </is>
      </c>
      <c r="C136" s="2" t="inlineStr">
        <is>
          <t>N</t>
        </is>
      </c>
      <c r="D136" s="2" t="inlineStr"/>
      <c r="E136" s="3" t="inlineStr">
        <is>
          <t>N</t>
        </is>
      </c>
      <c r="F136" s="3" t="n">
        <v>32</v>
      </c>
      <c r="G136" s="2" t="inlineStr"/>
      <c r="H136" s="3" t="inlineStr">
        <is>
          <t>N</t>
        </is>
      </c>
      <c r="I136" s="3" t="n">
        <v>43.5</v>
      </c>
      <c r="J136" s="3" t="n">
        <v>65.40000000000001</v>
      </c>
      <c r="K136" s="2" t="inlineStr">
        <is>
          <t>Market saturation in peak seasons; shift to off-peak targeting</t>
        </is>
      </c>
    </row>
    <row r="137">
      <c r="A137" s="4" t="inlineStr">
        <is>
          <t>W28</t>
        </is>
      </c>
      <c r="B137" s="4" t="inlineStr">
        <is>
          <t>HelloFresh CH</t>
        </is>
      </c>
      <c r="C137" s="4" t="inlineStr">
        <is>
          <t>N</t>
        </is>
      </c>
      <c r="D137" s="4" t="inlineStr"/>
      <c r="E137" s="5" t="inlineStr">
        <is>
          <t>Y</t>
        </is>
      </c>
      <c r="F137" s="5" t="n">
        <v>40.3</v>
      </c>
      <c r="G137" s="4" t="inlineStr"/>
      <c r="H137" s="5" t="inlineStr">
        <is>
          <t>N</t>
        </is>
      </c>
      <c r="I137" s="5" t="n">
        <v>78</v>
      </c>
      <c r="J137" s="5" t="n">
        <v>55.5</v>
      </c>
      <c r="K137" s="4" t="inlineStr">
        <is>
          <t>Audience overlap high; differentiate on brand values</t>
        </is>
      </c>
    </row>
    <row r="138">
      <c r="A138" s="2" t="inlineStr">
        <is>
          <t>W28</t>
        </is>
      </c>
      <c r="B138" s="2" t="inlineStr">
        <is>
          <t>Marley Spoon</t>
        </is>
      </c>
      <c r="C138" s="2" t="inlineStr">
        <is>
          <t>Y</t>
        </is>
      </c>
      <c r="D138" s="2" t="inlineStr">
        <is>
          <t>Free shipping on orders over CHF 100</t>
        </is>
      </c>
      <c r="E138" s="3" t="inlineStr">
        <is>
          <t>N</t>
        </is>
      </c>
      <c r="F138" s="3" t="n">
        <v>21.7</v>
      </c>
      <c r="G138" s="2" t="inlineStr"/>
      <c r="H138" s="3" t="inlineStr">
        <is>
          <t>N</t>
        </is>
      </c>
      <c r="I138" s="3" t="n">
        <v>44.2</v>
      </c>
      <c r="J138" s="3" t="n">
        <v>10.6</v>
      </c>
      <c r="K138" s="2" t="inlineStr">
        <is>
          <t>Market saturation in peak seasons; shift to off-peak targeting</t>
        </is>
      </c>
    </row>
    <row r="139">
      <c r="A139" s="4" t="inlineStr">
        <is>
          <t>W28</t>
        </is>
      </c>
      <c r="B139" s="4" t="inlineStr">
        <is>
          <t>Farmy</t>
        </is>
      </c>
      <c r="C139" s="4" t="inlineStr">
        <is>
          <t>Y</t>
        </is>
      </c>
      <c r="D139" s="4" t="inlineStr">
        <is>
          <t>Corporate gifting bulk discount</t>
        </is>
      </c>
      <c r="E139" s="5" t="inlineStr">
        <is>
          <t>Y</t>
        </is>
      </c>
      <c r="F139" s="5" t="n">
        <v>16.3</v>
      </c>
      <c r="G139" s="4" t="inlineStr"/>
      <c r="H139" s="5" t="inlineStr">
        <is>
          <t>N</t>
        </is>
      </c>
      <c r="I139" s="5" t="n">
        <v>19.2</v>
      </c>
      <c r="J139" s="5" t="n">
        <v>69.90000000000001</v>
      </c>
      <c r="K139" s="4" t="inlineStr">
        <is>
          <t>CPC inflation indicates increased budget allocation; optimize targeting</t>
        </is>
      </c>
    </row>
    <row r="140">
      <c r="A140" s="2" t="inlineStr">
        <is>
          <t>W28</t>
        </is>
      </c>
      <c r="B140" s="2" t="inlineStr">
        <is>
          <t>Alnatura Online</t>
        </is>
      </c>
      <c r="C140" s="2" t="inlineStr">
        <is>
          <t>N</t>
        </is>
      </c>
      <c r="D140" s="2" t="inlineStr"/>
      <c r="E140" s="3" t="inlineStr">
        <is>
          <t>N</t>
        </is>
      </c>
      <c r="F140" s="3" t="n">
        <v>41.8</v>
      </c>
      <c r="G140" s="2" t="inlineStr"/>
      <c r="H140" s="3" t="inlineStr">
        <is>
          <t>Y</t>
        </is>
      </c>
      <c r="I140" s="3" t="n">
        <v>42.3</v>
      </c>
      <c r="J140" s="3" t="n">
        <v>83.09999999999999</v>
      </c>
      <c r="K140" s="2" t="inlineStr">
        <is>
          <t>Budget concentration in specific channel; diversify spend</t>
        </is>
      </c>
    </row>
    <row r="141">
      <c r="A141" s="4" t="inlineStr">
        <is>
          <t>W28</t>
        </is>
      </c>
      <c r="B141" s="4" t="inlineStr">
        <is>
          <t>Bio Partner</t>
        </is>
      </c>
      <c r="C141" s="4" t="inlineStr">
        <is>
          <t>Y</t>
        </is>
      </c>
      <c r="D141" s="4" t="inlineStr">
        <is>
          <t>Corporate gifting bulk discount</t>
        </is>
      </c>
      <c r="E141" s="5" t="inlineStr">
        <is>
          <t>N</t>
        </is>
      </c>
      <c r="F141" s="5" t="n">
        <v>16.7</v>
      </c>
      <c r="G141" s="4" t="inlineStr"/>
      <c r="H141" s="5" t="inlineStr">
        <is>
          <t>Y</t>
        </is>
      </c>
      <c r="I141" s="5" t="n">
        <v>23.7</v>
      </c>
      <c r="J141" s="5" t="n">
        <v>56.8</v>
      </c>
      <c r="K141" s="4" t="inlineStr">
        <is>
          <t>Promotion fatigue potential in market; emphasize quality over price</t>
        </is>
      </c>
    </row>
    <row r="142">
      <c r="A142" s="2" t="inlineStr">
        <is>
          <t>W29</t>
        </is>
      </c>
      <c r="B142" s="2" t="inlineStr">
        <is>
          <t>HelloFresh CH</t>
        </is>
      </c>
      <c r="C142" s="2" t="inlineStr">
        <is>
          <t>N</t>
        </is>
      </c>
      <c r="D142" s="2" t="inlineStr"/>
      <c r="E142" s="3" t="inlineStr">
        <is>
          <t>N</t>
        </is>
      </c>
      <c r="F142" s="3" t="n">
        <v>9.1</v>
      </c>
      <c r="G142" s="2" t="inlineStr">
        <is>
          <t>Interactive Stories on Instagram</t>
        </is>
      </c>
      <c r="H142" s="3" t="inlineStr">
        <is>
          <t>Y</t>
        </is>
      </c>
      <c r="I142" s="3" t="n">
        <v>85.40000000000001</v>
      </c>
      <c r="J142" s="3" t="n">
        <v>55</v>
      </c>
      <c r="K142" s="2" t="inlineStr">
        <is>
          <t>New audience segment activation; monitor LTV implications</t>
        </is>
      </c>
    </row>
    <row r="143">
      <c r="A143" s="4" t="inlineStr">
        <is>
          <t>W29</t>
        </is>
      </c>
      <c r="B143" s="4" t="inlineStr">
        <is>
          <t>Marley Spoon</t>
        </is>
      </c>
      <c r="C143" s="4" t="inlineStr">
        <is>
          <t>Y</t>
        </is>
      </c>
      <c r="D143" s="4" t="inlineStr">
        <is>
          <t>Partnership promotion with fitness brand</t>
        </is>
      </c>
      <c r="E143" s="5" t="inlineStr">
        <is>
          <t>N</t>
        </is>
      </c>
      <c r="F143" s="5" t="n">
        <v>18.3</v>
      </c>
      <c r="G143" s="4" t="inlineStr"/>
      <c r="H143" s="5" t="inlineStr">
        <is>
          <t>N</t>
        </is>
      </c>
      <c r="I143" s="5" t="n">
        <v>40.1</v>
      </c>
      <c r="J143" s="5" t="n">
        <v>54</v>
      </c>
      <c r="K143" s="4" t="inlineStr">
        <is>
          <t>New audience segment activation; monitor LTV implications</t>
        </is>
      </c>
    </row>
    <row r="144">
      <c r="A144" s="2" t="inlineStr">
        <is>
          <t>W29</t>
        </is>
      </c>
      <c r="B144" s="2" t="inlineStr">
        <is>
          <t>Farmy</t>
        </is>
      </c>
      <c r="C144" s="2" t="inlineStr">
        <is>
          <t>N</t>
        </is>
      </c>
      <c r="D144" s="2" t="inlineStr"/>
      <c r="E144" s="3" t="inlineStr">
        <is>
          <t>N</t>
        </is>
      </c>
      <c r="F144" s="3" t="n">
        <v>27.5</v>
      </c>
      <c r="G144" s="2" t="inlineStr"/>
      <c r="H144" s="3" t="inlineStr">
        <is>
          <t>N</t>
        </is>
      </c>
      <c r="I144" s="3" t="n">
        <v>25.4</v>
      </c>
      <c r="J144" s="3" t="n">
        <v>70</v>
      </c>
      <c r="K144" s="2" t="inlineStr">
        <is>
          <t>Competitor weakness in retention; reinforce loyalty messaging</t>
        </is>
      </c>
    </row>
    <row r="145">
      <c r="A145" s="4" t="inlineStr">
        <is>
          <t>W29</t>
        </is>
      </c>
      <c r="B145" s="4" t="inlineStr">
        <is>
          <t>Alnatura Online</t>
        </is>
      </c>
      <c r="C145" s="4" t="inlineStr">
        <is>
          <t>Y</t>
        </is>
      </c>
      <c r="D145" s="4" t="inlineStr">
        <is>
          <t>First box 50% off for new subscribers</t>
        </is>
      </c>
      <c r="E145" s="5" t="inlineStr">
        <is>
          <t>Y</t>
        </is>
      </c>
      <c r="F145" s="5" t="n">
        <v>34.1</v>
      </c>
      <c r="G145" s="4" t="inlineStr">
        <is>
          <t>Interactive Stories on Instagram</t>
        </is>
      </c>
      <c r="H145" s="5" t="inlineStr">
        <is>
          <t>N</t>
        </is>
      </c>
      <c r="I145" s="5" t="n">
        <v>45.1</v>
      </c>
      <c r="J145" s="5" t="n">
        <v>69.59999999999999</v>
      </c>
      <c r="K145" s="4" t="inlineStr">
        <is>
          <t>Format innovation detected; test similar approach next quarter</t>
        </is>
      </c>
    </row>
    <row r="146">
      <c r="A146" s="2" t="inlineStr">
        <is>
          <t>W29</t>
        </is>
      </c>
      <c r="B146" s="2" t="inlineStr">
        <is>
          <t>Bio Partner</t>
        </is>
      </c>
      <c r="C146" s="2" t="inlineStr">
        <is>
          <t>Y</t>
        </is>
      </c>
      <c r="D146" s="2" t="inlineStr">
        <is>
          <t>Seasonal limited-time offer</t>
        </is>
      </c>
      <c r="E146" s="3" t="inlineStr">
        <is>
          <t>Y</t>
        </is>
      </c>
      <c r="F146" s="3" t="n">
        <v>31.5</v>
      </c>
      <c r="G146" s="2" t="inlineStr"/>
      <c r="H146" s="3" t="inlineStr">
        <is>
          <t>N</t>
        </is>
      </c>
      <c r="I146" s="3" t="n">
        <v>89</v>
      </c>
      <c r="J146" s="3" t="n">
        <v>84.5</v>
      </c>
      <c r="K146" s="2" t="inlineStr">
        <is>
          <t>Competitor weakness in retention; reinforce loyalty messaging</t>
        </is>
      </c>
    </row>
    <row r="147">
      <c r="A147" s="4" t="inlineStr">
        <is>
          <t>W30</t>
        </is>
      </c>
      <c r="B147" s="4" t="inlineStr">
        <is>
          <t>HelloFresh CH</t>
        </is>
      </c>
      <c r="C147" s="4" t="inlineStr">
        <is>
          <t>Y</t>
        </is>
      </c>
      <c r="D147" s="4" t="inlineStr">
        <is>
          <t>Student discount 15%</t>
        </is>
      </c>
      <c r="E147" s="5" t="inlineStr">
        <is>
          <t>N</t>
        </is>
      </c>
      <c r="F147" s="5" t="n">
        <v>5.1</v>
      </c>
      <c r="G147" s="4" t="inlineStr"/>
      <c r="H147" s="5" t="inlineStr">
        <is>
          <t>N</t>
        </is>
      </c>
      <c r="I147" s="5" t="n">
        <v>93.59999999999999</v>
      </c>
      <c r="J147" s="5" t="n">
        <v>12.4</v>
      </c>
      <c r="K147" s="4" t="inlineStr">
        <is>
          <t>CPC inflation indicates increased budget allocation; optimize targeting</t>
        </is>
      </c>
    </row>
    <row r="148">
      <c r="A148" s="2" t="inlineStr">
        <is>
          <t>W30</t>
        </is>
      </c>
      <c r="B148" s="2" t="inlineStr">
        <is>
          <t>Marley Spoon</t>
        </is>
      </c>
      <c r="C148" s="2" t="inlineStr">
        <is>
          <t>N</t>
        </is>
      </c>
      <c r="D148" s="2" t="inlineStr"/>
      <c r="E148" s="3" t="inlineStr">
        <is>
          <t>Y</t>
        </is>
      </c>
      <c r="F148" s="3" t="n">
        <v>25.6</v>
      </c>
      <c r="G148" s="2" t="inlineStr"/>
      <c r="H148" s="3" t="inlineStr">
        <is>
          <t>N</t>
        </is>
      </c>
      <c r="I148" s="3" t="n">
        <v>84.40000000000001</v>
      </c>
      <c r="J148" s="3" t="n">
        <v>43.4</v>
      </c>
      <c r="K148" s="2" t="inlineStr">
        <is>
          <t>Promotion fatigue potential in market; emphasize quality over price</t>
        </is>
      </c>
    </row>
    <row r="149">
      <c r="A149" s="4" t="inlineStr">
        <is>
          <t>W30</t>
        </is>
      </c>
      <c r="B149" s="4" t="inlineStr">
        <is>
          <t>Farmy</t>
        </is>
      </c>
      <c r="C149" s="4" t="inlineStr">
        <is>
          <t>Y</t>
        </is>
      </c>
      <c r="D149" s="4" t="inlineStr">
        <is>
          <t>First box 50% off for new subscribers</t>
        </is>
      </c>
      <c r="E149" s="5" t="inlineStr">
        <is>
          <t>N</t>
        </is>
      </c>
      <c r="F149" s="5" t="n">
        <v>7.8</v>
      </c>
      <c r="G149" s="4" t="inlineStr"/>
      <c r="H149" s="5" t="inlineStr">
        <is>
          <t>Y</t>
        </is>
      </c>
      <c r="I149" s="5" t="n">
        <v>30.8</v>
      </c>
      <c r="J149" s="5" t="n">
        <v>57.8</v>
      </c>
      <c r="K149" s="4" t="inlineStr">
        <is>
          <t>Budget concentration in specific channel; diversify spend</t>
        </is>
      </c>
    </row>
    <row r="150">
      <c r="A150" s="2" t="inlineStr">
        <is>
          <t>W30</t>
        </is>
      </c>
      <c r="B150" s="2" t="inlineStr">
        <is>
          <t>Alnatura Online</t>
        </is>
      </c>
      <c r="C150" s="2" t="inlineStr">
        <is>
          <t>N</t>
        </is>
      </c>
      <c r="D150" s="2" t="inlineStr"/>
      <c r="E150" s="3" t="inlineStr">
        <is>
          <t>N</t>
        </is>
      </c>
      <c r="F150" s="3" t="n">
        <v>9.1</v>
      </c>
      <c r="G150" s="2" t="inlineStr"/>
      <c r="H150" s="3" t="inlineStr">
        <is>
          <t>N</t>
        </is>
      </c>
      <c r="I150" s="3" t="n">
        <v>37.4</v>
      </c>
      <c r="J150" s="3" t="n">
        <v>57.6</v>
      </c>
      <c r="K150" s="2" t="inlineStr">
        <is>
          <t>Audience overlap high; differentiate on brand values</t>
        </is>
      </c>
    </row>
    <row r="151">
      <c r="A151" s="4" t="inlineStr">
        <is>
          <t>W30</t>
        </is>
      </c>
      <c r="B151" s="4" t="inlineStr">
        <is>
          <t>Bio Partner</t>
        </is>
      </c>
      <c r="C151" s="4" t="inlineStr">
        <is>
          <t>Y</t>
        </is>
      </c>
      <c r="D151" s="4" t="inlineStr">
        <is>
          <t>First box 50% off for new subscribers</t>
        </is>
      </c>
      <c r="E151" s="5" t="inlineStr">
        <is>
          <t>N</t>
        </is>
      </c>
      <c r="F151" s="5" t="n">
        <v>20.5</v>
      </c>
      <c r="G151" s="4" t="inlineStr"/>
      <c r="H151" s="5" t="inlineStr">
        <is>
          <t>Y</t>
        </is>
      </c>
      <c r="I151" s="5" t="n">
        <v>16</v>
      </c>
      <c r="J151" s="5" t="n">
        <v>14.5</v>
      </c>
      <c r="K151" s="4" t="inlineStr">
        <is>
          <t>Competitor weakness in retention; reinforce loyalty messaging</t>
        </is>
      </c>
    </row>
    <row r="152">
      <c r="A152" s="2" t="inlineStr">
        <is>
          <t>W31</t>
        </is>
      </c>
      <c r="B152" s="2" t="inlineStr">
        <is>
          <t>HelloFresh CH</t>
        </is>
      </c>
      <c r="C152" s="2" t="inlineStr">
        <is>
          <t>N</t>
        </is>
      </c>
      <c r="D152" s="2" t="inlineStr"/>
      <c r="E152" s="3" t="inlineStr">
        <is>
          <t>N</t>
        </is>
      </c>
      <c r="F152" s="3" t="n">
        <v>33.3</v>
      </c>
      <c r="G152" s="2" t="inlineStr">
        <is>
          <t>YouTube Shorts with countdown timer</t>
        </is>
      </c>
      <c r="H152" s="3" t="inlineStr">
        <is>
          <t>Y</t>
        </is>
      </c>
      <c r="I152" s="3" t="n">
        <v>80.40000000000001</v>
      </c>
      <c r="J152" s="3" t="n">
        <v>39.6</v>
      </c>
      <c r="K152" s="2" t="inlineStr">
        <is>
          <t>Competitor weakness in retention; reinforce loyalty messaging</t>
        </is>
      </c>
    </row>
    <row r="153">
      <c r="A153" s="4" t="inlineStr">
        <is>
          <t>W31</t>
        </is>
      </c>
      <c r="B153" s="4" t="inlineStr">
        <is>
          <t>Marley Spoon</t>
        </is>
      </c>
      <c r="C153" s="4" t="inlineStr">
        <is>
          <t>Y</t>
        </is>
      </c>
      <c r="D153" s="4" t="inlineStr">
        <is>
          <t>Referral bonus CHF 25 credit</t>
        </is>
      </c>
      <c r="E153" s="5" t="inlineStr">
        <is>
          <t>N</t>
        </is>
      </c>
      <c r="F153" s="5" t="n">
        <v>25.4</v>
      </c>
      <c r="G153" s="4" t="inlineStr"/>
      <c r="H153" s="5" t="inlineStr">
        <is>
          <t>Y</t>
        </is>
      </c>
      <c r="I153" s="5" t="n">
        <v>58.8</v>
      </c>
      <c r="J153" s="5" t="n">
        <v>32</v>
      </c>
      <c r="K153" s="4" t="inlineStr">
        <is>
          <t>New audience segment activation; monitor LTV implications</t>
        </is>
      </c>
    </row>
    <row r="154">
      <c r="A154" s="2" t="inlineStr">
        <is>
          <t>W31</t>
        </is>
      </c>
      <c r="B154" s="2" t="inlineStr">
        <is>
          <t>Farmy</t>
        </is>
      </c>
      <c r="C154" s="2" t="inlineStr">
        <is>
          <t>Y</t>
        </is>
      </c>
      <c r="D154" s="2" t="inlineStr">
        <is>
          <t>Free shipping on orders over CHF 100</t>
        </is>
      </c>
      <c r="E154" s="3" t="inlineStr">
        <is>
          <t>Y</t>
        </is>
      </c>
      <c r="F154" s="3" t="n">
        <v>12.6</v>
      </c>
      <c r="G154" s="2" t="inlineStr"/>
      <c r="H154" s="3" t="inlineStr">
        <is>
          <t>N</t>
        </is>
      </c>
      <c r="I154" s="3" t="n">
        <v>46.7</v>
      </c>
      <c r="J154" s="3" t="n">
        <v>41.4</v>
      </c>
      <c r="K154" s="2" t="inlineStr">
        <is>
          <t>Competitor weakness in retention; reinforce loyalty messaging</t>
        </is>
      </c>
    </row>
    <row r="155">
      <c r="A155" s="4" t="inlineStr">
        <is>
          <t>W31</t>
        </is>
      </c>
      <c r="B155" s="4" t="inlineStr">
        <is>
          <t>Alnatura Online</t>
        </is>
      </c>
      <c r="C155" s="4" t="inlineStr">
        <is>
          <t>N</t>
        </is>
      </c>
      <c r="D155" s="4" t="inlineStr"/>
      <c r="E155" s="5" t="inlineStr">
        <is>
          <t>Y</t>
        </is>
      </c>
      <c r="F155" s="5" t="n">
        <v>23.9</v>
      </c>
      <c r="G155" s="4" t="inlineStr"/>
      <c r="H155" s="5" t="inlineStr">
        <is>
          <t>N</t>
        </is>
      </c>
      <c r="I155" s="5" t="n">
        <v>40.1</v>
      </c>
      <c r="J155" s="5" t="n">
        <v>72.7</v>
      </c>
      <c r="K155" s="4" t="inlineStr">
        <is>
          <t>Competitor pricing pressure; consider bundle repositioning</t>
        </is>
      </c>
    </row>
    <row r="156">
      <c r="A156" s="2" t="inlineStr">
        <is>
          <t>W31</t>
        </is>
      </c>
      <c r="B156" s="2" t="inlineStr">
        <is>
          <t>Bio Partner</t>
        </is>
      </c>
      <c r="C156" s="2" t="inlineStr">
        <is>
          <t>Y</t>
        </is>
      </c>
      <c r="D156" s="2" t="inlineStr">
        <is>
          <t>Corporate gifting bulk discount</t>
        </is>
      </c>
      <c r="E156" s="3" t="inlineStr">
        <is>
          <t>N</t>
        </is>
      </c>
      <c r="F156" s="3" t="n">
        <v>41.6</v>
      </c>
      <c r="G156" s="2" t="inlineStr">
        <is>
          <t>Reddit targeted community ads</t>
        </is>
      </c>
      <c r="H156" s="3" t="inlineStr">
        <is>
          <t>N</t>
        </is>
      </c>
      <c r="I156" s="3" t="n">
        <v>45.1</v>
      </c>
      <c r="J156" s="3" t="n">
        <v>17.7</v>
      </c>
      <c r="K156" s="2" t="inlineStr">
        <is>
          <t>CPC inflation indicates increased budget allocation; optimize targeting</t>
        </is>
      </c>
    </row>
    <row r="157">
      <c r="A157" s="4" t="inlineStr">
        <is>
          <t>W32</t>
        </is>
      </c>
      <c r="B157" s="4" t="inlineStr">
        <is>
          <t>HelloFresh CH</t>
        </is>
      </c>
      <c r="C157" s="4" t="inlineStr">
        <is>
          <t>Y</t>
        </is>
      </c>
      <c r="D157" s="4" t="inlineStr">
        <is>
          <t>Referral bonus CHF 25 credit</t>
        </is>
      </c>
      <c r="E157" s="5" t="inlineStr">
        <is>
          <t>Y</t>
        </is>
      </c>
      <c r="F157" s="5" t="n">
        <v>21.1</v>
      </c>
      <c r="G157" s="4" t="inlineStr">
        <is>
          <t>YouTube Shorts with countdown timer</t>
        </is>
      </c>
      <c r="H157" s="5" t="inlineStr">
        <is>
          <t>N</t>
        </is>
      </c>
      <c r="I157" s="5" t="n">
        <v>69.7</v>
      </c>
      <c r="J157" s="5" t="n">
        <v>35.8</v>
      </c>
      <c r="K157" s="4" t="inlineStr">
        <is>
          <t>Audience overlap high; differentiate on brand values</t>
        </is>
      </c>
    </row>
    <row r="158">
      <c r="A158" s="2" t="inlineStr">
        <is>
          <t>W32</t>
        </is>
      </c>
      <c r="B158" s="2" t="inlineStr">
        <is>
          <t>Marley Spoon</t>
        </is>
      </c>
      <c r="C158" s="2" t="inlineStr">
        <is>
          <t>N</t>
        </is>
      </c>
      <c r="D158" s="2" t="inlineStr"/>
      <c r="E158" s="3" t="inlineStr">
        <is>
          <t>Y</t>
        </is>
      </c>
      <c r="F158" s="3" t="n">
        <v>39.5</v>
      </c>
      <c r="G158" s="2" t="inlineStr"/>
      <c r="H158" s="3" t="inlineStr">
        <is>
          <t>N</t>
        </is>
      </c>
      <c r="I158" s="3" t="n">
        <v>50.7</v>
      </c>
      <c r="J158" s="3" t="n">
        <v>49.4</v>
      </c>
      <c r="K158" s="2" t="inlineStr">
        <is>
          <t>Audience overlap high; differentiate on brand values</t>
        </is>
      </c>
    </row>
    <row r="159">
      <c r="A159" s="4" t="inlineStr">
        <is>
          <t>W32</t>
        </is>
      </c>
      <c r="B159" s="4" t="inlineStr">
        <is>
          <t>Farmy</t>
        </is>
      </c>
      <c r="C159" s="4" t="inlineStr">
        <is>
          <t>Y</t>
        </is>
      </c>
      <c r="D159" s="4" t="inlineStr">
        <is>
          <t>Corporate gifting bulk discount</t>
        </is>
      </c>
      <c r="E159" s="5" t="inlineStr">
        <is>
          <t>N</t>
        </is>
      </c>
      <c r="F159" s="5" t="n">
        <v>33.7</v>
      </c>
      <c r="G159" s="4" t="inlineStr"/>
      <c r="H159" s="5" t="inlineStr">
        <is>
          <t>N</t>
        </is>
      </c>
      <c r="I159" s="5" t="n">
        <v>35.2</v>
      </c>
      <c r="J159" s="5" t="n">
        <v>29.6</v>
      </c>
      <c r="K159" s="4" t="inlineStr">
        <is>
          <t>New partnership threat; accelerate influencer program</t>
        </is>
      </c>
    </row>
    <row r="160">
      <c r="A160" s="2" t="inlineStr">
        <is>
          <t>W32</t>
        </is>
      </c>
      <c r="B160" s="2" t="inlineStr">
        <is>
          <t>Alnatura Online</t>
        </is>
      </c>
      <c r="C160" s="2" t="inlineStr">
        <is>
          <t>N</t>
        </is>
      </c>
      <c r="D160" s="2" t="inlineStr"/>
      <c r="E160" s="3" t="inlineStr">
        <is>
          <t>N</t>
        </is>
      </c>
      <c r="F160" s="3" t="n">
        <v>6.2</v>
      </c>
      <c r="G160" s="2" t="inlineStr"/>
      <c r="H160" s="3" t="inlineStr">
        <is>
          <t>N</t>
        </is>
      </c>
      <c r="I160" s="3" t="n">
        <v>61.3</v>
      </c>
      <c r="J160" s="3" t="n">
        <v>15.9</v>
      </c>
      <c r="K160" s="2" t="inlineStr">
        <is>
          <t>New partnership threat; accelerate influencer program</t>
        </is>
      </c>
    </row>
    <row r="161">
      <c r="A161" s="4" t="inlineStr">
        <is>
          <t>W32</t>
        </is>
      </c>
      <c r="B161" s="4" t="inlineStr">
        <is>
          <t>Bio Partner</t>
        </is>
      </c>
      <c r="C161" s="4" t="inlineStr">
        <is>
          <t>N</t>
        </is>
      </c>
      <c r="D161" s="4" t="inlineStr"/>
      <c r="E161" s="5" t="inlineStr">
        <is>
          <t>N</t>
        </is>
      </c>
      <c r="F161" s="5" t="n">
        <v>30.7</v>
      </c>
      <c r="G161" s="4" t="inlineStr"/>
      <c r="H161" s="5" t="inlineStr">
        <is>
          <t>N</t>
        </is>
      </c>
      <c r="I161" s="5" t="n">
        <v>73.2</v>
      </c>
      <c r="J161" s="5" t="n">
        <v>28.3</v>
      </c>
      <c r="K161" s="4" t="inlineStr">
        <is>
          <t>Market saturation in peak seasons; shift to off-peak targeting</t>
        </is>
      </c>
    </row>
    <row r="162">
      <c r="A162" s="2" t="inlineStr">
        <is>
          <t>W33</t>
        </is>
      </c>
      <c r="B162" s="2" t="inlineStr">
        <is>
          <t>HelloFresh CH</t>
        </is>
      </c>
      <c r="C162" s="2" t="inlineStr">
        <is>
          <t>Y</t>
        </is>
      </c>
      <c r="D162" s="2" t="inlineStr">
        <is>
          <t>Free shipping on orders over CHF 100</t>
        </is>
      </c>
      <c r="E162" s="3" t="inlineStr">
        <is>
          <t>Y</t>
        </is>
      </c>
      <c r="F162" s="3" t="n">
        <v>43.5</v>
      </c>
      <c r="G162" s="2" t="inlineStr"/>
      <c r="H162" s="3" t="inlineStr">
        <is>
          <t>N</t>
        </is>
      </c>
      <c r="I162" s="3" t="n">
        <v>82.09999999999999</v>
      </c>
      <c r="J162" s="3" t="n">
        <v>72.59999999999999</v>
      </c>
      <c r="K162" s="2" t="inlineStr">
        <is>
          <t>Format innovation detected; test similar approach next quarter</t>
        </is>
      </c>
    </row>
    <row r="163">
      <c r="A163" s="4" t="inlineStr">
        <is>
          <t>W33</t>
        </is>
      </c>
      <c r="B163" s="4" t="inlineStr">
        <is>
          <t>Marley Spoon</t>
        </is>
      </c>
      <c r="C163" s="4" t="inlineStr">
        <is>
          <t>N</t>
        </is>
      </c>
      <c r="D163" s="4" t="inlineStr"/>
      <c r="E163" s="5" t="inlineStr">
        <is>
          <t>Y</t>
        </is>
      </c>
      <c r="F163" s="5" t="n">
        <v>31.5</v>
      </c>
      <c r="G163" s="4" t="inlineStr"/>
      <c r="H163" s="5" t="inlineStr">
        <is>
          <t>N</t>
        </is>
      </c>
      <c r="I163" s="5" t="n">
        <v>38.8</v>
      </c>
      <c r="J163" s="5" t="n">
        <v>34.8</v>
      </c>
      <c r="K163" s="4" t="inlineStr">
        <is>
          <t>New partnership threat; accelerate influencer program</t>
        </is>
      </c>
    </row>
    <row r="164">
      <c r="A164" s="2" t="inlineStr">
        <is>
          <t>W33</t>
        </is>
      </c>
      <c r="B164" s="2" t="inlineStr">
        <is>
          <t>Farmy</t>
        </is>
      </c>
      <c r="C164" s="2" t="inlineStr">
        <is>
          <t>N</t>
        </is>
      </c>
      <c r="D164" s="2" t="inlineStr"/>
      <c r="E164" s="3" t="inlineStr">
        <is>
          <t>N</t>
        </is>
      </c>
      <c r="F164" s="3" t="n">
        <v>22.8</v>
      </c>
      <c r="G164" s="2" t="inlineStr"/>
      <c r="H164" s="3" t="inlineStr">
        <is>
          <t>N</t>
        </is>
      </c>
      <c r="I164" s="3" t="n">
        <v>19.9</v>
      </c>
      <c r="J164" s="3" t="n">
        <v>25.9</v>
      </c>
      <c r="K164" s="2" t="inlineStr">
        <is>
          <t>Promotion fatigue potential in market; emphasize quality over price</t>
        </is>
      </c>
    </row>
    <row r="165">
      <c r="A165" s="4" t="inlineStr">
        <is>
          <t>W33</t>
        </is>
      </c>
      <c r="B165" s="4" t="inlineStr">
        <is>
          <t>Alnatura Online</t>
        </is>
      </c>
      <c r="C165" s="4" t="inlineStr">
        <is>
          <t>N</t>
        </is>
      </c>
      <c r="D165" s="4" t="inlineStr"/>
      <c r="E165" s="5" t="inlineStr">
        <is>
          <t>N</t>
        </is>
      </c>
      <c r="F165" s="5" t="n">
        <v>33.8</v>
      </c>
      <c r="G165" s="4" t="inlineStr"/>
      <c r="H165" s="5" t="inlineStr">
        <is>
          <t>N</t>
        </is>
      </c>
      <c r="I165" s="5" t="n">
        <v>48.4</v>
      </c>
      <c r="J165" s="5" t="n">
        <v>14.1</v>
      </c>
      <c r="K165" s="4" t="inlineStr">
        <is>
          <t>New partnership threat; accelerate influencer program</t>
        </is>
      </c>
    </row>
    <row r="166">
      <c r="A166" s="2" t="inlineStr">
        <is>
          <t>W33</t>
        </is>
      </c>
      <c r="B166" s="2" t="inlineStr">
        <is>
          <t>Bio Partner</t>
        </is>
      </c>
      <c r="C166" s="2" t="inlineStr">
        <is>
          <t>Y</t>
        </is>
      </c>
      <c r="D166" s="2" t="inlineStr">
        <is>
          <t>Family meal combo pricing</t>
        </is>
      </c>
      <c r="E166" s="3" t="inlineStr">
        <is>
          <t>N</t>
        </is>
      </c>
      <c r="F166" s="3" t="n">
        <v>35.7</v>
      </c>
      <c r="G166" s="2" t="inlineStr"/>
      <c r="H166" s="3" t="inlineStr">
        <is>
          <t>N</t>
        </is>
      </c>
      <c r="I166" s="3" t="n">
        <v>59.5</v>
      </c>
      <c r="J166" s="3" t="n">
        <v>29.9</v>
      </c>
      <c r="K166" s="2" t="inlineStr">
        <is>
          <t>CPC inflation indicates increased budget allocation; optimize targeting</t>
        </is>
      </c>
    </row>
    <row r="167">
      <c r="A167" s="4" t="inlineStr">
        <is>
          <t>W34</t>
        </is>
      </c>
      <c r="B167" s="4" t="inlineStr">
        <is>
          <t>HelloFresh CH</t>
        </is>
      </c>
      <c r="C167" s="4" t="inlineStr">
        <is>
          <t>Y</t>
        </is>
      </c>
      <c r="D167" s="4" t="inlineStr">
        <is>
          <t>Partnership promotion with fitness brand</t>
        </is>
      </c>
      <c r="E167" s="5" t="inlineStr">
        <is>
          <t>N</t>
        </is>
      </c>
      <c r="F167" s="5" t="n">
        <v>42.2</v>
      </c>
      <c r="G167" s="4" t="inlineStr">
        <is>
          <t>TikTok Duet challenge</t>
        </is>
      </c>
      <c r="H167" s="5" t="inlineStr">
        <is>
          <t>Y</t>
        </is>
      </c>
      <c r="I167" s="5" t="n">
        <v>85.59999999999999</v>
      </c>
      <c r="J167" s="5" t="n">
        <v>78.7</v>
      </c>
      <c r="K167" s="4" t="inlineStr">
        <is>
          <t>Promotion fatigue potential in market; emphasize quality over price</t>
        </is>
      </c>
    </row>
    <row r="168">
      <c r="A168" s="2" t="inlineStr">
        <is>
          <t>W34</t>
        </is>
      </c>
      <c r="B168" s="2" t="inlineStr">
        <is>
          <t>Marley Spoon</t>
        </is>
      </c>
      <c r="C168" s="2" t="inlineStr">
        <is>
          <t>N</t>
        </is>
      </c>
      <c r="D168" s="2" t="inlineStr"/>
      <c r="E168" s="3" t="inlineStr">
        <is>
          <t>N</t>
        </is>
      </c>
      <c r="F168" s="3" t="n">
        <v>26.1</v>
      </c>
      <c r="G168" s="2" t="inlineStr"/>
      <c r="H168" s="3" t="inlineStr">
        <is>
          <t>Y</t>
        </is>
      </c>
      <c r="I168" s="3" t="n">
        <v>92.90000000000001</v>
      </c>
      <c r="J168" s="3" t="n">
        <v>70</v>
      </c>
      <c r="K168" s="2" t="inlineStr">
        <is>
          <t>Competitor pricing pressure; consider bundle repositioning</t>
        </is>
      </c>
    </row>
    <row r="169">
      <c r="A169" s="4" t="inlineStr">
        <is>
          <t>W34</t>
        </is>
      </c>
      <c r="B169" s="4" t="inlineStr">
        <is>
          <t>Farmy</t>
        </is>
      </c>
      <c r="C169" s="4" t="inlineStr">
        <is>
          <t>N</t>
        </is>
      </c>
      <c r="D169" s="4" t="inlineStr"/>
      <c r="E169" s="5" t="inlineStr">
        <is>
          <t>N</t>
        </is>
      </c>
      <c r="F169" s="5" t="n">
        <v>19.3</v>
      </c>
      <c r="G169" s="4" t="inlineStr"/>
      <c r="H169" s="5" t="inlineStr">
        <is>
          <t>Y</t>
        </is>
      </c>
      <c r="I169" s="5" t="n">
        <v>47.9</v>
      </c>
      <c r="J169" s="5" t="n">
        <v>46.2</v>
      </c>
      <c r="K169" s="4" t="inlineStr">
        <is>
          <t>Budget concentration in specific channel; diversify spend</t>
        </is>
      </c>
    </row>
    <row r="170">
      <c r="A170" s="2" t="inlineStr">
        <is>
          <t>W34</t>
        </is>
      </c>
      <c r="B170" s="2" t="inlineStr">
        <is>
          <t>Alnatura Online</t>
        </is>
      </c>
      <c r="C170" s="2" t="inlineStr">
        <is>
          <t>N</t>
        </is>
      </c>
      <c r="D170" s="2" t="inlineStr"/>
      <c r="E170" s="3" t="inlineStr">
        <is>
          <t>Y</t>
        </is>
      </c>
      <c r="F170" s="3" t="n">
        <v>17.5</v>
      </c>
      <c r="G170" s="2" t="inlineStr"/>
      <c r="H170" s="3" t="inlineStr">
        <is>
          <t>N</t>
        </is>
      </c>
      <c r="I170" s="3" t="n">
        <v>40.7</v>
      </c>
      <c r="J170" s="3" t="n">
        <v>12.7</v>
      </c>
      <c r="K170" s="2" t="inlineStr">
        <is>
          <t>Format innovation detected; test similar approach next quarter</t>
        </is>
      </c>
    </row>
    <row r="171">
      <c r="A171" s="4" t="inlineStr">
        <is>
          <t>W34</t>
        </is>
      </c>
      <c r="B171" s="4" t="inlineStr">
        <is>
          <t>Bio Partner</t>
        </is>
      </c>
      <c r="C171" s="4" t="inlineStr">
        <is>
          <t>Y</t>
        </is>
      </c>
      <c r="D171" s="4" t="inlineStr">
        <is>
          <t>Referral bonus CHF 25 credit</t>
        </is>
      </c>
      <c r="E171" s="5" t="inlineStr">
        <is>
          <t>N</t>
        </is>
      </c>
      <c r="F171" s="5" t="n">
        <v>20.5</v>
      </c>
      <c r="G171" s="4" t="inlineStr">
        <is>
          <t>Snapchat AR lens filter</t>
        </is>
      </c>
      <c r="H171" s="5" t="inlineStr">
        <is>
          <t>N</t>
        </is>
      </c>
      <c r="I171" s="5" t="n">
        <v>27.4</v>
      </c>
      <c r="J171" s="5" t="n">
        <v>28.3</v>
      </c>
      <c r="K171" s="4" t="inlineStr">
        <is>
          <t>New partnership threat; accelerate influencer program</t>
        </is>
      </c>
    </row>
    <row r="172">
      <c r="A172" s="2" t="inlineStr">
        <is>
          <t>W35</t>
        </is>
      </c>
      <c r="B172" s="2" t="inlineStr">
        <is>
          <t>HelloFresh CH</t>
        </is>
      </c>
      <c r="C172" s="2" t="inlineStr">
        <is>
          <t>N</t>
        </is>
      </c>
      <c r="D172" s="2" t="inlineStr"/>
      <c r="E172" s="3" t="inlineStr">
        <is>
          <t>N</t>
        </is>
      </c>
      <c r="F172" s="3" t="n">
        <v>41.5</v>
      </c>
      <c r="G172" s="2" t="inlineStr">
        <is>
          <t>YouTube Shorts with countdown timer</t>
        </is>
      </c>
      <c r="H172" s="3" t="inlineStr">
        <is>
          <t>N</t>
        </is>
      </c>
      <c r="I172" s="3" t="n">
        <v>47.9</v>
      </c>
      <c r="J172" s="3" t="n">
        <v>56.3</v>
      </c>
      <c r="K172" s="2" t="inlineStr">
        <is>
          <t>Format innovation detected; test similar approach next quarter</t>
        </is>
      </c>
    </row>
    <row r="173">
      <c r="A173" s="4" t="inlineStr">
        <is>
          <t>W35</t>
        </is>
      </c>
      <c r="B173" s="4" t="inlineStr">
        <is>
          <t>Marley Spoon</t>
        </is>
      </c>
      <c r="C173" s="4" t="inlineStr">
        <is>
          <t>Y</t>
        </is>
      </c>
      <c r="D173" s="4" t="inlineStr">
        <is>
          <t>Free shipping on orders over CHF 100</t>
        </is>
      </c>
      <c r="E173" s="5" t="inlineStr">
        <is>
          <t>Y</t>
        </is>
      </c>
      <c r="F173" s="5" t="n">
        <v>11.4</v>
      </c>
      <c r="G173" s="4" t="inlineStr"/>
      <c r="H173" s="5" t="inlineStr">
        <is>
          <t>N</t>
        </is>
      </c>
      <c r="I173" s="5" t="n">
        <v>16.4</v>
      </c>
      <c r="J173" s="5" t="n">
        <v>24.6</v>
      </c>
      <c r="K173" s="4" t="inlineStr">
        <is>
          <t>Market saturation in peak seasons; shift to off-peak targeting</t>
        </is>
      </c>
    </row>
    <row r="174">
      <c r="A174" s="2" t="inlineStr">
        <is>
          <t>W35</t>
        </is>
      </c>
      <c r="B174" s="2" t="inlineStr">
        <is>
          <t>Farmy</t>
        </is>
      </c>
      <c r="C174" s="2" t="inlineStr">
        <is>
          <t>Y</t>
        </is>
      </c>
      <c r="D174" s="2" t="inlineStr">
        <is>
          <t>Seasonal limited-time offer</t>
        </is>
      </c>
      <c r="E174" s="3" t="inlineStr">
        <is>
          <t>N</t>
        </is>
      </c>
      <c r="F174" s="3" t="n">
        <v>24.3</v>
      </c>
      <c r="G174" s="2" t="inlineStr"/>
      <c r="H174" s="3" t="inlineStr">
        <is>
          <t>N</t>
        </is>
      </c>
      <c r="I174" s="3" t="n">
        <v>66.09999999999999</v>
      </c>
      <c r="J174" s="3" t="n">
        <v>83.90000000000001</v>
      </c>
      <c r="K174" s="2" t="inlineStr">
        <is>
          <t>Audience overlap high; differentiate on brand values</t>
        </is>
      </c>
    </row>
    <row r="175">
      <c r="A175" s="4" t="inlineStr">
        <is>
          <t>W35</t>
        </is>
      </c>
      <c r="B175" s="4" t="inlineStr">
        <is>
          <t>Alnatura Online</t>
        </is>
      </c>
      <c r="C175" s="4" t="inlineStr">
        <is>
          <t>N</t>
        </is>
      </c>
      <c r="D175" s="4" t="inlineStr"/>
      <c r="E175" s="5" t="inlineStr">
        <is>
          <t>N</t>
        </is>
      </c>
      <c r="F175" s="5" t="n">
        <v>29.1</v>
      </c>
      <c r="G175" s="4" t="inlineStr">
        <is>
          <t>YouTube Shorts with countdown timer</t>
        </is>
      </c>
      <c r="H175" s="5" t="inlineStr">
        <is>
          <t>N</t>
        </is>
      </c>
      <c r="I175" s="5" t="n">
        <v>75.3</v>
      </c>
      <c r="J175" s="5" t="n">
        <v>79.3</v>
      </c>
      <c r="K175" s="4" t="inlineStr">
        <is>
          <t>Budget concentration in specific channel; diversify spend</t>
        </is>
      </c>
    </row>
    <row r="176">
      <c r="A176" s="2" t="inlineStr">
        <is>
          <t>W35</t>
        </is>
      </c>
      <c r="B176" s="2" t="inlineStr">
        <is>
          <t>Bio Partner</t>
        </is>
      </c>
      <c r="C176" s="2" t="inlineStr">
        <is>
          <t>Y</t>
        </is>
      </c>
      <c r="D176" s="2" t="inlineStr">
        <is>
          <t>Loyalty program launch</t>
        </is>
      </c>
      <c r="E176" s="3" t="inlineStr">
        <is>
          <t>Y</t>
        </is>
      </c>
      <c r="F176" s="3" t="n">
        <v>28.2</v>
      </c>
      <c r="G176" s="2" t="inlineStr"/>
      <c r="H176" s="3" t="inlineStr">
        <is>
          <t>N</t>
        </is>
      </c>
      <c r="I176" s="3" t="n">
        <v>25.2</v>
      </c>
      <c r="J176" s="3" t="n">
        <v>17.9</v>
      </c>
      <c r="K176" s="2" t="inlineStr">
        <is>
          <t>Competitor weakness in retention; reinforce loyalty messaging</t>
        </is>
      </c>
    </row>
    <row r="177">
      <c r="A177" s="4" t="inlineStr">
        <is>
          <t>W36</t>
        </is>
      </c>
      <c r="B177" s="4" t="inlineStr">
        <is>
          <t>HelloFresh CH</t>
        </is>
      </c>
      <c r="C177" s="4" t="inlineStr">
        <is>
          <t>N</t>
        </is>
      </c>
      <c r="D177" s="4" t="inlineStr"/>
      <c r="E177" s="5" t="inlineStr">
        <is>
          <t>N</t>
        </is>
      </c>
      <c r="F177" s="5" t="n">
        <v>14.9</v>
      </c>
      <c r="G177" s="4" t="inlineStr"/>
      <c r="H177" s="5" t="inlineStr">
        <is>
          <t>N</t>
        </is>
      </c>
      <c r="I177" s="5" t="n">
        <v>23.1</v>
      </c>
      <c r="J177" s="5" t="n">
        <v>24.2</v>
      </c>
      <c r="K177" s="4" t="inlineStr">
        <is>
          <t>Competitor weakness in retention; reinforce loyalty messaging</t>
        </is>
      </c>
    </row>
    <row r="178">
      <c r="A178" s="2" t="inlineStr">
        <is>
          <t>W36</t>
        </is>
      </c>
      <c r="B178" s="2" t="inlineStr">
        <is>
          <t>Marley Spoon</t>
        </is>
      </c>
      <c r="C178" s="2" t="inlineStr">
        <is>
          <t>N</t>
        </is>
      </c>
      <c r="D178" s="2" t="inlineStr"/>
      <c r="E178" s="3" t="inlineStr">
        <is>
          <t>N</t>
        </is>
      </c>
      <c r="F178" s="3" t="n">
        <v>42.1</v>
      </c>
      <c r="G178" s="2" t="inlineStr"/>
      <c r="H178" s="3" t="inlineStr">
        <is>
          <t>N</t>
        </is>
      </c>
      <c r="I178" s="3" t="n">
        <v>80</v>
      </c>
      <c r="J178" s="3" t="n">
        <v>75.90000000000001</v>
      </c>
      <c r="K178" s="2" t="inlineStr">
        <is>
          <t>Budget concentration in specific channel; diversify spend</t>
        </is>
      </c>
    </row>
    <row r="179">
      <c r="A179" s="4" t="inlineStr">
        <is>
          <t>W36</t>
        </is>
      </c>
      <c r="B179" s="4" t="inlineStr">
        <is>
          <t>Farmy</t>
        </is>
      </c>
      <c r="C179" s="4" t="inlineStr">
        <is>
          <t>Y</t>
        </is>
      </c>
      <c r="D179" s="4" t="inlineStr">
        <is>
          <t>Corporate gifting bulk discount</t>
        </is>
      </c>
      <c r="E179" s="5" t="inlineStr">
        <is>
          <t>N</t>
        </is>
      </c>
      <c r="F179" s="5" t="n">
        <v>31.9</v>
      </c>
      <c r="G179" s="4" t="inlineStr"/>
      <c r="H179" s="5" t="inlineStr">
        <is>
          <t>N</t>
        </is>
      </c>
      <c r="I179" s="5" t="n">
        <v>84.90000000000001</v>
      </c>
      <c r="J179" s="5" t="n">
        <v>19.6</v>
      </c>
      <c r="K179" s="4" t="inlineStr">
        <is>
          <t>New partnership threat; accelerate influencer program</t>
        </is>
      </c>
    </row>
    <row r="180">
      <c r="A180" s="2" t="inlineStr">
        <is>
          <t>W36</t>
        </is>
      </c>
      <c r="B180" s="2" t="inlineStr">
        <is>
          <t>Alnatura Online</t>
        </is>
      </c>
      <c r="C180" s="2" t="inlineStr">
        <is>
          <t>Y</t>
        </is>
      </c>
      <c r="D180" s="2" t="inlineStr">
        <is>
          <t>Corporate gifting bulk discount</t>
        </is>
      </c>
      <c r="E180" s="3" t="inlineStr">
        <is>
          <t>Y</t>
        </is>
      </c>
      <c r="F180" s="3" t="n">
        <v>31.2</v>
      </c>
      <c r="G180" s="2" t="inlineStr"/>
      <c r="H180" s="3" t="inlineStr">
        <is>
          <t>Y</t>
        </is>
      </c>
      <c r="I180" s="3" t="n">
        <v>30.7</v>
      </c>
      <c r="J180" s="3" t="n">
        <v>74.8</v>
      </c>
      <c r="K180" s="2" t="inlineStr">
        <is>
          <t>Audience overlap high; differentiate on brand values</t>
        </is>
      </c>
    </row>
    <row r="181">
      <c r="A181" s="4" t="inlineStr">
        <is>
          <t>W36</t>
        </is>
      </c>
      <c r="B181" s="4" t="inlineStr">
        <is>
          <t>Bio Partner</t>
        </is>
      </c>
      <c r="C181" s="4" t="inlineStr">
        <is>
          <t>N</t>
        </is>
      </c>
      <c r="D181" s="4" t="inlineStr"/>
      <c r="E181" s="5" t="inlineStr">
        <is>
          <t>N</t>
        </is>
      </c>
      <c r="F181" s="5" t="n">
        <v>40.7</v>
      </c>
      <c r="G181" s="4" t="inlineStr">
        <is>
          <t>Snapchat AR lens filter</t>
        </is>
      </c>
      <c r="H181" s="5" t="inlineStr">
        <is>
          <t>N</t>
        </is>
      </c>
      <c r="I181" s="5" t="n">
        <v>85.7</v>
      </c>
      <c r="J181" s="5" t="n">
        <v>22.5</v>
      </c>
      <c r="K181" s="4" t="inlineStr">
        <is>
          <t>Budget concentration in specific channel; diversify spend</t>
        </is>
      </c>
    </row>
    <row r="182">
      <c r="A182" s="2" t="inlineStr">
        <is>
          <t>W37</t>
        </is>
      </c>
      <c r="B182" s="2" t="inlineStr">
        <is>
          <t>HelloFresh CH</t>
        </is>
      </c>
      <c r="C182" s="2" t="inlineStr">
        <is>
          <t>N</t>
        </is>
      </c>
      <c r="D182" s="2" t="inlineStr"/>
      <c r="E182" s="3" t="inlineStr">
        <is>
          <t>N</t>
        </is>
      </c>
      <c r="F182" s="3" t="n">
        <v>9.699999999999999</v>
      </c>
      <c r="G182" s="2" t="inlineStr"/>
      <c r="H182" s="3" t="inlineStr">
        <is>
          <t>N</t>
        </is>
      </c>
      <c r="I182" s="3" t="n">
        <v>41</v>
      </c>
      <c r="J182" s="3" t="n">
        <v>71.09999999999999</v>
      </c>
      <c r="K182" s="2" t="inlineStr">
        <is>
          <t>Budget concentration in specific channel; diversify spend</t>
        </is>
      </c>
    </row>
    <row r="183">
      <c r="A183" s="4" t="inlineStr">
        <is>
          <t>W37</t>
        </is>
      </c>
      <c r="B183" s="4" t="inlineStr">
        <is>
          <t>Marley Spoon</t>
        </is>
      </c>
      <c r="C183" s="4" t="inlineStr">
        <is>
          <t>N</t>
        </is>
      </c>
      <c r="D183" s="4" t="inlineStr"/>
      <c r="E183" s="5" t="inlineStr">
        <is>
          <t>Y</t>
        </is>
      </c>
      <c r="F183" s="5" t="n">
        <v>34.2</v>
      </c>
      <c r="G183" s="4" t="inlineStr">
        <is>
          <t>Pinterest Idea Pin collections</t>
        </is>
      </c>
      <c r="H183" s="5" t="inlineStr">
        <is>
          <t>Y</t>
        </is>
      </c>
      <c r="I183" s="5" t="n">
        <v>94.09999999999999</v>
      </c>
      <c r="J183" s="5" t="n">
        <v>26.9</v>
      </c>
      <c r="K183" s="4" t="inlineStr">
        <is>
          <t>Format innovation detected; test similar approach next quarter</t>
        </is>
      </c>
    </row>
    <row r="184">
      <c r="A184" s="2" t="inlineStr">
        <is>
          <t>W37</t>
        </is>
      </c>
      <c r="B184" s="2" t="inlineStr">
        <is>
          <t>Farmy</t>
        </is>
      </c>
      <c r="C184" s="2" t="inlineStr">
        <is>
          <t>N</t>
        </is>
      </c>
      <c r="D184" s="2" t="inlineStr"/>
      <c r="E184" s="3" t="inlineStr">
        <is>
          <t>N</t>
        </is>
      </c>
      <c r="F184" s="3" t="n">
        <v>34.7</v>
      </c>
      <c r="G184" s="2" t="inlineStr">
        <is>
          <t>LinkedIn carousel for B2B2C</t>
        </is>
      </c>
      <c r="H184" s="3" t="inlineStr">
        <is>
          <t>N</t>
        </is>
      </c>
      <c r="I184" s="3" t="n">
        <v>15.9</v>
      </c>
      <c r="J184" s="3" t="n">
        <v>52.5</v>
      </c>
      <c r="K184" s="2" t="inlineStr">
        <is>
          <t>CPC inflation indicates increased budget allocation; optimize targeting</t>
        </is>
      </c>
    </row>
    <row r="185">
      <c r="A185" s="4" t="inlineStr">
        <is>
          <t>W37</t>
        </is>
      </c>
      <c r="B185" s="4" t="inlineStr">
        <is>
          <t>Alnatura Online</t>
        </is>
      </c>
      <c r="C185" s="4" t="inlineStr">
        <is>
          <t>N</t>
        </is>
      </c>
      <c r="D185" s="4" t="inlineStr"/>
      <c r="E185" s="5" t="inlineStr">
        <is>
          <t>Y</t>
        </is>
      </c>
      <c r="F185" s="5" t="n">
        <v>39.6</v>
      </c>
      <c r="G185" s="4" t="inlineStr"/>
      <c r="H185" s="5" t="inlineStr">
        <is>
          <t>N</t>
        </is>
      </c>
      <c r="I185" s="5" t="n">
        <v>65.09999999999999</v>
      </c>
      <c r="J185" s="5" t="n">
        <v>83.3</v>
      </c>
      <c r="K185" s="4" t="inlineStr">
        <is>
          <t>Competitor pricing pressure; consider bundle repositioning</t>
        </is>
      </c>
    </row>
    <row r="186">
      <c r="A186" s="2" t="inlineStr">
        <is>
          <t>W37</t>
        </is>
      </c>
      <c r="B186" s="2" t="inlineStr">
        <is>
          <t>Bio Partner</t>
        </is>
      </c>
      <c r="C186" s="2" t="inlineStr">
        <is>
          <t>N</t>
        </is>
      </c>
      <c r="D186" s="2" t="inlineStr"/>
      <c r="E186" s="3" t="inlineStr">
        <is>
          <t>Y</t>
        </is>
      </c>
      <c r="F186" s="3" t="n">
        <v>11</v>
      </c>
      <c r="G186" s="2" t="inlineStr"/>
      <c r="H186" s="3" t="inlineStr">
        <is>
          <t>N</t>
        </is>
      </c>
      <c r="I186" s="3" t="n">
        <v>67.40000000000001</v>
      </c>
      <c r="J186" s="3" t="n">
        <v>19.1</v>
      </c>
      <c r="K186" s="2" t="inlineStr">
        <is>
          <t>New partnership threat; accelerate influencer program</t>
        </is>
      </c>
    </row>
    <row r="187">
      <c r="A187" s="4" t="inlineStr">
        <is>
          <t>W38</t>
        </is>
      </c>
      <c r="B187" s="4" t="inlineStr">
        <is>
          <t>HelloFresh CH</t>
        </is>
      </c>
      <c r="C187" s="4" t="inlineStr">
        <is>
          <t>N</t>
        </is>
      </c>
      <c r="D187" s="4" t="inlineStr"/>
      <c r="E187" s="5" t="inlineStr">
        <is>
          <t>N</t>
        </is>
      </c>
      <c r="F187" s="5" t="n">
        <v>20.8</v>
      </c>
      <c r="G187" s="4" t="inlineStr"/>
      <c r="H187" s="5" t="inlineStr">
        <is>
          <t>N</t>
        </is>
      </c>
      <c r="I187" s="5" t="n">
        <v>55</v>
      </c>
      <c r="J187" s="5" t="n">
        <v>36.3</v>
      </c>
      <c r="K187" s="4" t="inlineStr">
        <is>
          <t>Audience overlap high; differentiate on brand values</t>
        </is>
      </c>
    </row>
    <row r="188">
      <c r="A188" s="2" t="inlineStr">
        <is>
          <t>W38</t>
        </is>
      </c>
      <c r="B188" s="2" t="inlineStr">
        <is>
          <t>Marley Spoon</t>
        </is>
      </c>
      <c r="C188" s="2" t="inlineStr">
        <is>
          <t>Y</t>
        </is>
      </c>
      <c r="D188" s="2" t="inlineStr">
        <is>
          <t>Loyalty program launch</t>
        </is>
      </c>
      <c r="E188" s="3" t="inlineStr">
        <is>
          <t>Y</t>
        </is>
      </c>
      <c r="F188" s="3" t="n">
        <v>7.8</v>
      </c>
      <c r="G188" s="2" t="inlineStr">
        <is>
          <t>Meta Reels with captions</t>
        </is>
      </c>
      <c r="H188" s="3" t="inlineStr">
        <is>
          <t>N</t>
        </is>
      </c>
      <c r="I188" s="3" t="n">
        <v>85</v>
      </c>
      <c r="J188" s="3" t="n">
        <v>18.3</v>
      </c>
      <c r="K188" s="2" t="inlineStr">
        <is>
          <t>Format innovation detected; test similar approach next quarter</t>
        </is>
      </c>
    </row>
    <row r="189">
      <c r="A189" s="4" t="inlineStr">
        <is>
          <t>W38</t>
        </is>
      </c>
      <c r="B189" s="4" t="inlineStr">
        <is>
          <t>Farmy</t>
        </is>
      </c>
      <c r="C189" s="4" t="inlineStr">
        <is>
          <t>N</t>
        </is>
      </c>
      <c r="D189" s="4" t="inlineStr"/>
      <c r="E189" s="5" t="inlineStr">
        <is>
          <t>Y</t>
        </is>
      </c>
      <c r="F189" s="5" t="n">
        <v>16.8</v>
      </c>
      <c r="G189" s="4" t="inlineStr">
        <is>
          <t>YouTube Shorts with countdown timer</t>
        </is>
      </c>
      <c r="H189" s="5" t="inlineStr">
        <is>
          <t>N</t>
        </is>
      </c>
      <c r="I189" s="5" t="n">
        <v>53.3</v>
      </c>
      <c r="J189" s="5" t="n">
        <v>57.7</v>
      </c>
      <c r="K189" s="4" t="inlineStr">
        <is>
          <t>Competitor pricing pressure; consider bundle repositioning</t>
        </is>
      </c>
    </row>
    <row r="190">
      <c r="A190" s="2" t="inlineStr">
        <is>
          <t>W38</t>
        </is>
      </c>
      <c r="B190" s="2" t="inlineStr">
        <is>
          <t>Alnatura Online</t>
        </is>
      </c>
      <c r="C190" s="2" t="inlineStr">
        <is>
          <t>N</t>
        </is>
      </c>
      <c r="D190" s="2" t="inlineStr"/>
      <c r="E190" s="3" t="inlineStr">
        <is>
          <t>N</t>
        </is>
      </c>
      <c r="F190" s="3" t="n">
        <v>26.6</v>
      </c>
      <c r="G190" s="2" t="inlineStr"/>
      <c r="H190" s="3" t="inlineStr">
        <is>
          <t>Y</t>
        </is>
      </c>
      <c r="I190" s="3" t="n">
        <v>21.7</v>
      </c>
      <c r="J190" s="3" t="n">
        <v>46</v>
      </c>
      <c r="K190" s="2" t="inlineStr">
        <is>
          <t>Market saturation in peak seasons; shift to off-peak targeting</t>
        </is>
      </c>
    </row>
    <row r="191">
      <c r="A191" s="4" t="inlineStr">
        <is>
          <t>W38</t>
        </is>
      </c>
      <c r="B191" s="4" t="inlineStr">
        <is>
          <t>Bio Partner</t>
        </is>
      </c>
      <c r="C191" s="4" t="inlineStr">
        <is>
          <t>Y</t>
        </is>
      </c>
      <c r="D191" s="4" t="inlineStr">
        <is>
          <t>Free shipping on orders over CHF 100</t>
        </is>
      </c>
      <c r="E191" s="5" t="inlineStr">
        <is>
          <t>N</t>
        </is>
      </c>
      <c r="F191" s="5" t="n">
        <v>37.8</v>
      </c>
      <c r="G191" s="4" t="inlineStr"/>
      <c r="H191" s="5" t="inlineStr">
        <is>
          <t>Y</t>
        </is>
      </c>
      <c r="I191" s="5" t="n">
        <v>90.59999999999999</v>
      </c>
      <c r="J191" s="5" t="n">
        <v>10.4</v>
      </c>
      <c r="K191" s="4" t="inlineStr">
        <is>
          <t>Market saturation in peak seasons; shift to off-peak targeting</t>
        </is>
      </c>
    </row>
    <row r="192">
      <c r="A192" s="2" t="inlineStr">
        <is>
          <t>W39</t>
        </is>
      </c>
      <c r="B192" s="2" t="inlineStr">
        <is>
          <t>HelloFresh CH</t>
        </is>
      </c>
      <c r="C192" s="2" t="inlineStr">
        <is>
          <t>N</t>
        </is>
      </c>
      <c r="D192" s="2" t="inlineStr"/>
      <c r="E192" s="3" t="inlineStr">
        <is>
          <t>Y</t>
        </is>
      </c>
      <c r="F192" s="3" t="n">
        <v>39.1</v>
      </c>
      <c r="G192" s="2" t="inlineStr">
        <is>
          <t>Google Shopping with video</t>
        </is>
      </c>
      <c r="H192" s="3" t="inlineStr">
        <is>
          <t>Y</t>
        </is>
      </c>
      <c r="I192" s="3" t="n">
        <v>27</v>
      </c>
      <c r="J192" s="3" t="n">
        <v>41</v>
      </c>
      <c r="K192" s="2" t="inlineStr">
        <is>
          <t>CPC inflation indicates increased budget allocation; optimize targeting</t>
        </is>
      </c>
    </row>
    <row r="193">
      <c r="A193" s="4" t="inlineStr">
        <is>
          <t>W39</t>
        </is>
      </c>
      <c r="B193" s="4" t="inlineStr">
        <is>
          <t>Marley Spoon</t>
        </is>
      </c>
      <c r="C193" s="4" t="inlineStr">
        <is>
          <t>N</t>
        </is>
      </c>
      <c r="D193" s="4" t="inlineStr"/>
      <c r="E193" s="5" t="inlineStr">
        <is>
          <t>Y</t>
        </is>
      </c>
      <c r="F193" s="5" t="n">
        <v>40.8</v>
      </c>
      <c r="G193" s="4" t="inlineStr">
        <is>
          <t>YouTube Shorts with countdown timer</t>
        </is>
      </c>
      <c r="H193" s="5" t="inlineStr">
        <is>
          <t>N</t>
        </is>
      </c>
      <c r="I193" s="5" t="n">
        <v>35.2</v>
      </c>
      <c r="J193" s="5" t="n">
        <v>29.8</v>
      </c>
      <c r="K193" s="4" t="inlineStr">
        <is>
          <t>Competitor weakness in retention; reinforce loyalty messaging</t>
        </is>
      </c>
    </row>
    <row r="194">
      <c r="A194" s="2" t="inlineStr">
        <is>
          <t>W39</t>
        </is>
      </c>
      <c r="B194" s="2" t="inlineStr">
        <is>
          <t>Farmy</t>
        </is>
      </c>
      <c r="C194" s="2" t="inlineStr">
        <is>
          <t>Y</t>
        </is>
      </c>
      <c r="D194" s="2" t="inlineStr">
        <is>
          <t>Student discount 15%</t>
        </is>
      </c>
      <c r="E194" s="3" t="inlineStr">
        <is>
          <t>N</t>
        </is>
      </c>
      <c r="F194" s="3" t="n">
        <v>37.5</v>
      </c>
      <c r="G194" s="2" t="inlineStr">
        <is>
          <t>Meta Reels with captions</t>
        </is>
      </c>
      <c r="H194" s="3" t="inlineStr">
        <is>
          <t>N</t>
        </is>
      </c>
      <c r="I194" s="3" t="n">
        <v>59.1</v>
      </c>
      <c r="J194" s="3" t="n">
        <v>81.09999999999999</v>
      </c>
      <c r="K194" s="2" t="inlineStr">
        <is>
          <t>Market saturation in peak seasons; shift to off-peak targeting</t>
        </is>
      </c>
    </row>
    <row r="195">
      <c r="A195" s="4" t="inlineStr">
        <is>
          <t>W39</t>
        </is>
      </c>
      <c r="B195" s="4" t="inlineStr">
        <is>
          <t>Alnatura Online</t>
        </is>
      </c>
      <c r="C195" s="4" t="inlineStr">
        <is>
          <t>N</t>
        </is>
      </c>
      <c r="D195" s="4" t="inlineStr"/>
      <c r="E195" s="5" t="inlineStr">
        <is>
          <t>Y</t>
        </is>
      </c>
      <c r="F195" s="5" t="n">
        <v>19.4</v>
      </c>
      <c r="G195" s="4" t="inlineStr"/>
      <c r="H195" s="5" t="inlineStr">
        <is>
          <t>N</t>
        </is>
      </c>
      <c r="I195" s="5" t="n">
        <v>42.1</v>
      </c>
      <c r="J195" s="5" t="n">
        <v>82.2</v>
      </c>
      <c r="K195" s="4" t="inlineStr">
        <is>
          <t>New partnership threat; accelerate influencer program</t>
        </is>
      </c>
    </row>
    <row r="196">
      <c r="A196" s="2" t="inlineStr">
        <is>
          <t>W39</t>
        </is>
      </c>
      <c r="B196" s="2" t="inlineStr">
        <is>
          <t>Bio Partner</t>
        </is>
      </c>
      <c r="C196" s="2" t="inlineStr">
        <is>
          <t>Y</t>
        </is>
      </c>
      <c r="D196" s="2" t="inlineStr">
        <is>
          <t>Bundle discount (2 boxes at 20% off)</t>
        </is>
      </c>
      <c r="E196" s="3" t="inlineStr">
        <is>
          <t>Y</t>
        </is>
      </c>
      <c r="F196" s="3" t="n">
        <v>16.7</v>
      </c>
      <c r="G196" s="2" t="inlineStr"/>
      <c r="H196" s="3" t="inlineStr">
        <is>
          <t>N</t>
        </is>
      </c>
      <c r="I196" s="3" t="n">
        <v>35.7</v>
      </c>
      <c r="J196" s="3" t="n">
        <v>23.3</v>
      </c>
      <c r="K196" s="2" t="inlineStr">
        <is>
          <t>Promotion fatigue potential in market; emphasize quality over price</t>
        </is>
      </c>
    </row>
    <row r="197">
      <c r="A197" s="4" t="inlineStr">
        <is>
          <t>W40</t>
        </is>
      </c>
      <c r="B197" s="4" t="inlineStr">
        <is>
          <t>HelloFresh CH</t>
        </is>
      </c>
      <c r="C197" s="4" t="inlineStr">
        <is>
          <t>Y</t>
        </is>
      </c>
      <c r="D197" s="4" t="inlineStr">
        <is>
          <t>Student discount 15%</t>
        </is>
      </c>
      <c r="E197" s="5" t="inlineStr">
        <is>
          <t>Y</t>
        </is>
      </c>
      <c r="F197" s="5" t="n">
        <v>8.1</v>
      </c>
      <c r="G197" s="4" t="inlineStr"/>
      <c r="H197" s="5" t="inlineStr">
        <is>
          <t>N</t>
        </is>
      </c>
      <c r="I197" s="5" t="n">
        <v>57.2</v>
      </c>
      <c r="J197" s="5" t="n">
        <v>14.4</v>
      </c>
      <c r="K197" s="4" t="inlineStr">
        <is>
          <t>Competitor pricing pressure; consider bundle repositioning</t>
        </is>
      </c>
    </row>
    <row r="198">
      <c r="A198" s="2" t="inlineStr">
        <is>
          <t>W40</t>
        </is>
      </c>
      <c r="B198" s="2" t="inlineStr">
        <is>
          <t>Marley Spoon</t>
        </is>
      </c>
      <c r="C198" s="2" t="inlineStr">
        <is>
          <t>N</t>
        </is>
      </c>
      <c r="D198" s="2" t="inlineStr"/>
      <c r="E198" s="3" t="inlineStr">
        <is>
          <t>Y</t>
        </is>
      </c>
      <c r="F198" s="3" t="n">
        <v>31.1</v>
      </c>
      <c r="G198" s="2" t="inlineStr"/>
      <c r="H198" s="3" t="inlineStr">
        <is>
          <t>N</t>
        </is>
      </c>
      <c r="I198" s="3" t="n">
        <v>46.8</v>
      </c>
      <c r="J198" s="3" t="n">
        <v>66</v>
      </c>
      <c r="K198" s="2" t="inlineStr">
        <is>
          <t>Format innovation detected; test similar approach next quarter</t>
        </is>
      </c>
    </row>
    <row r="199">
      <c r="A199" s="4" t="inlineStr">
        <is>
          <t>W40</t>
        </is>
      </c>
      <c r="B199" s="4" t="inlineStr">
        <is>
          <t>Farmy</t>
        </is>
      </c>
      <c r="C199" s="4" t="inlineStr">
        <is>
          <t>N</t>
        </is>
      </c>
      <c r="D199" s="4" t="inlineStr"/>
      <c r="E199" s="5" t="inlineStr">
        <is>
          <t>N</t>
        </is>
      </c>
      <c r="F199" s="5" t="n">
        <v>36.5</v>
      </c>
      <c r="G199" s="4" t="inlineStr"/>
      <c r="H199" s="5" t="inlineStr">
        <is>
          <t>N</t>
        </is>
      </c>
      <c r="I199" s="5" t="n">
        <v>84.8</v>
      </c>
      <c r="J199" s="5" t="n">
        <v>83</v>
      </c>
      <c r="K199" s="4" t="inlineStr">
        <is>
          <t>Competitor weakness in retention; reinforce loyalty messaging</t>
        </is>
      </c>
    </row>
    <row r="200">
      <c r="A200" s="2" t="inlineStr">
        <is>
          <t>W40</t>
        </is>
      </c>
      <c r="B200" s="2" t="inlineStr">
        <is>
          <t>Alnatura Online</t>
        </is>
      </c>
      <c r="C200" s="2" t="inlineStr">
        <is>
          <t>Y</t>
        </is>
      </c>
      <c r="D200" s="2" t="inlineStr">
        <is>
          <t>First box 50% off for new subscribers</t>
        </is>
      </c>
      <c r="E200" s="3" t="inlineStr">
        <is>
          <t>Y</t>
        </is>
      </c>
      <c r="F200" s="3" t="n">
        <v>39.8</v>
      </c>
      <c r="G200" s="2" t="inlineStr"/>
      <c r="H200" s="3" t="inlineStr">
        <is>
          <t>Y</t>
        </is>
      </c>
      <c r="I200" s="3" t="n">
        <v>63</v>
      </c>
      <c r="J200" s="3" t="n">
        <v>67.2</v>
      </c>
      <c r="K200" s="2" t="inlineStr">
        <is>
          <t>Format innovation detected; test similar approach next quarter</t>
        </is>
      </c>
    </row>
    <row r="201">
      <c r="A201" s="4" t="inlineStr">
        <is>
          <t>W40</t>
        </is>
      </c>
      <c r="B201" s="4" t="inlineStr">
        <is>
          <t>Bio Partner</t>
        </is>
      </c>
      <c r="C201" s="4" t="inlineStr">
        <is>
          <t>N</t>
        </is>
      </c>
      <c r="D201" s="4" t="inlineStr"/>
      <c r="E201" s="5" t="inlineStr">
        <is>
          <t>N</t>
        </is>
      </c>
      <c r="F201" s="5" t="n">
        <v>6.3</v>
      </c>
      <c r="G201" s="4" t="inlineStr"/>
      <c r="H201" s="5" t="inlineStr">
        <is>
          <t>Y</t>
        </is>
      </c>
      <c r="I201" s="5" t="n">
        <v>36.6</v>
      </c>
      <c r="J201" s="5" t="n">
        <v>81.09999999999999</v>
      </c>
      <c r="K201" s="4" t="inlineStr">
        <is>
          <t>Audience overlap high; differentiate on brand values</t>
        </is>
      </c>
    </row>
    <row r="202">
      <c r="A202" s="2" t="inlineStr">
        <is>
          <t>W41</t>
        </is>
      </c>
      <c r="B202" s="2" t="inlineStr">
        <is>
          <t>HelloFresh CH</t>
        </is>
      </c>
      <c r="C202" s="2" t="inlineStr">
        <is>
          <t>N</t>
        </is>
      </c>
      <c r="D202" s="2" t="inlineStr"/>
      <c r="E202" s="3" t="inlineStr">
        <is>
          <t>N</t>
        </is>
      </c>
      <c r="F202" s="3" t="n">
        <v>19.3</v>
      </c>
      <c r="G202" s="2" t="inlineStr">
        <is>
          <t>TikTok Duet challenge</t>
        </is>
      </c>
      <c r="H202" s="3" t="inlineStr">
        <is>
          <t>N</t>
        </is>
      </c>
      <c r="I202" s="3" t="n">
        <v>49.9</v>
      </c>
      <c r="J202" s="3" t="n">
        <v>59.8</v>
      </c>
      <c r="K202" s="2" t="inlineStr">
        <is>
          <t>Budget concentration in specific channel; diversify spend</t>
        </is>
      </c>
    </row>
    <row r="203">
      <c r="A203" s="4" t="inlineStr">
        <is>
          <t>W41</t>
        </is>
      </c>
      <c r="B203" s="4" t="inlineStr">
        <is>
          <t>Marley Spoon</t>
        </is>
      </c>
      <c r="C203" s="4" t="inlineStr">
        <is>
          <t>N</t>
        </is>
      </c>
      <c r="D203" s="4" t="inlineStr"/>
      <c r="E203" s="5" t="inlineStr">
        <is>
          <t>N</t>
        </is>
      </c>
      <c r="F203" s="5" t="n">
        <v>34.2</v>
      </c>
      <c r="G203" s="4" t="inlineStr">
        <is>
          <t>YouTube Shorts with countdown timer</t>
        </is>
      </c>
      <c r="H203" s="5" t="inlineStr">
        <is>
          <t>Y</t>
        </is>
      </c>
      <c r="I203" s="5" t="n">
        <v>27.6</v>
      </c>
      <c r="J203" s="5" t="n">
        <v>51.1</v>
      </c>
      <c r="K203" s="4" t="inlineStr">
        <is>
          <t>Budget concentration in specific channel; diversify spend</t>
        </is>
      </c>
    </row>
    <row r="204">
      <c r="A204" s="2" t="inlineStr">
        <is>
          <t>W41</t>
        </is>
      </c>
      <c r="B204" s="2" t="inlineStr">
        <is>
          <t>Farmy</t>
        </is>
      </c>
      <c r="C204" s="2" t="inlineStr">
        <is>
          <t>N</t>
        </is>
      </c>
      <c r="D204" s="2" t="inlineStr"/>
      <c r="E204" s="3" t="inlineStr">
        <is>
          <t>N</t>
        </is>
      </c>
      <c r="F204" s="3" t="n">
        <v>31.6</v>
      </c>
      <c r="G204" s="2" t="inlineStr"/>
      <c r="H204" s="3" t="inlineStr">
        <is>
          <t>N</t>
        </is>
      </c>
      <c r="I204" s="3" t="n">
        <v>76.40000000000001</v>
      </c>
      <c r="J204" s="3" t="n">
        <v>63.7</v>
      </c>
      <c r="K204" s="2" t="inlineStr">
        <is>
          <t>Promotion fatigue potential in market; emphasize quality over price</t>
        </is>
      </c>
    </row>
    <row r="205">
      <c r="A205" s="4" t="inlineStr">
        <is>
          <t>W41</t>
        </is>
      </c>
      <c r="B205" s="4" t="inlineStr">
        <is>
          <t>Alnatura Online</t>
        </is>
      </c>
      <c r="C205" s="4" t="inlineStr">
        <is>
          <t>N</t>
        </is>
      </c>
      <c r="D205" s="4" t="inlineStr"/>
      <c r="E205" s="5" t="inlineStr">
        <is>
          <t>Y</t>
        </is>
      </c>
      <c r="F205" s="5" t="n">
        <v>10.7</v>
      </c>
      <c r="G205" s="4" t="inlineStr"/>
      <c r="H205" s="5" t="inlineStr">
        <is>
          <t>N</t>
        </is>
      </c>
      <c r="I205" s="5" t="n">
        <v>54.4</v>
      </c>
      <c r="J205" s="5" t="n">
        <v>41.5</v>
      </c>
      <c r="K205" s="4" t="inlineStr">
        <is>
          <t>Competitor pricing pressure; consider bundle repositioning</t>
        </is>
      </c>
    </row>
    <row r="206">
      <c r="A206" s="2" t="inlineStr">
        <is>
          <t>W41</t>
        </is>
      </c>
      <c r="B206" s="2" t="inlineStr">
        <is>
          <t>Bio Partner</t>
        </is>
      </c>
      <c r="C206" s="2" t="inlineStr">
        <is>
          <t>Y</t>
        </is>
      </c>
      <c r="D206" s="2" t="inlineStr">
        <is>
          <t>Loyalty program launch</t>
        </is>
      </c>
      <c r="E206" s="3" t="inlineStr">
        <is>
          <t>N</t>
        </is>
      </c>
      <c r="F206" s="3" t="n">
        <v>33.1</v>
      </c>
      <c r="G206" s="2" t="inlineStr"/>
      <c r="H206" s="3" t="inlineStr">
        <is>
          <t>N</t>
        </is>
      </c>
      <c r="I206" s="3" t="n">
        <v>84.09999999999999</v>
      </c>
      <c r="J206" s="3" t="n">
        <v>58.8</v>
      </c>
      <c r="K206" s="2" t="inlineStr">
        <is>
          <t>Format innovation detected; test similar approach next quarter</t>
        </is>
      </c>
    </row>
    <row r="207">
      <c r="A207" s="4" t="inlineStr">
        <is>
          <t>W42</t>
        </is>
      </c>
      <c r="B207" s="4" t="inlineStr">
        <is>
          <t>HelloFresh CH</t>
        </is>
      </c>
      <c r="C207" s="4" t="inlineStr">
        <is>
          <t>N</t>
        </is>
      </c>
      <c r="D207" s="4" t="inlineStr"/>
      <c r="E207" s="5" t="inlineStr">
        <is>
          <t>N</t>
        </is>
      </c>
      <c r="F207" s="5" t="n">
        <v>33.9</v>
      </c>
      <c r="G207" s="4" t="inlineStr"/>
      <c r="H207" s="5" t="inlineStr">
        <is>
          <t>N</t>
        </is>
      </c>
      <c r="I207" s="5" t="n">
        <v>94.59999999999999</v>
      </c>
      <c r="J207" s="5" t="n">
        <v>41.5</v>
      </c>
      <c r="K207" s="4" t="inlineStr">
        <is>
          <t>Budget concentration in specific channel; diversify spend</t>
        </is>
      </c>
    </row>
    <row r="208">
      <c r="A208" s="2" t="inlineStr">
        <is>
          <t>W42</t>
        </is>
      </c>
      <c r="B208" s="2" t="inlineStr">
        <is>
          <t>Marley Spoon</t>
        </is>
      </c>
      <c r="C208" s="2" t="inlineStr">
        <is>
          <t>N</t>
        </is>
      </c>
      <c r="D208" s="2" t="inlineStr"/>
      <c r="E208" s="3" t="inlineStr">
        <is>
          <t>Y</t>
        </is>
      </c>
      <c r="F208" s="3" t="n">
        <v>39</v>
      </c>
      <c r="G208" s="2" t="inlineStr">
        <is>
          <t>Snapchat AR lens filter</t>
        </is>
      </c>
      <c r="H208" s="3" t="inlineStr">
        <is>
          <t>Y</t>
        </is>
      </c>
      <c r="I208" s="3" t="n">
        <v>64.8</v>
      </c>
      <c r="J208" s="3" t="n">
        <v>70.40000000000001</v>
      </c>
      <c r="K208" s="2" t="inlineStr">
        <is>
          <t>CPC inflation indicates increased budget allocation; optimize targeting</t>
        </is>
      </c>
    </row>
    <row r="209">
      <c r="A209" s="4" t="inlineStr">
        <is>
          <t>W42</t>
        </is>
      </c>
      <c r="B209" s="4" t="inlineStr">
        <is>
          <t>Farmy</t>
        </is>
      </c>
      <c r="C209" s="4" t="inlineStr">
        <is>
          <t>N</t>
        </is>
      </c>
      <c r="D209" s="4" t="inlineStr"/>
      <c r="E209" s="5" t="inlineStr">
        <is>
          <t>N</t>
        </is>
      </c>
      <c r="F209" s="5" t="n">
        <v>14.6</v>
      </c>
      <c r="G209" s="4" t="inlineStr"/>
      <c r="H209" s="5" t="inlineStr">
        <is>
          <t>N</t>
        </is>
      </c>
      <c r="I209" s="5" t="n">
        <v>45.8</v>
      </c>
      <c r="J209" s="5" t="n">
        <v>81.40000000000001</v>
      </c>
      <c r="K209" s="4" t="inlineStr">
        <is>
          <t>Audience overlap high; differentiate on brand values</t>
        </is>
      </c>
    </row>
    <row r="210">
      <c r="A210" s="2" t="inlineStr">
        <is>
          <t>W42</t>
        </is>
      </c>
      <c r="B210" s="2" t="inlineStr">
        <is>
          <t>Alnatura Online</t>
        </is>
      </c>
      <c r="C210" s="2" t="inlineStr">
        <is>
          <t>Y</t>
        </is>
      </c>
      <c r="D210" s="2" t="inlineStr">
        <is>
          <t>Bundle discount (2 boxes at 20% off)</t>
        </is>
      </c>
      <c r="E210" s="3" t="inlineStr">
        <is>
          <t>N</t>
        </is>
      </c>
      <c r="F210" s="3" t="n">
        <v>30.7</v>
      </c>
      <c r="G210" s="2" t="inlineStr"/>
      <c r="H210" s="3" t="inlineStr">
        <is>
          <t>N</t>
        </is>
      </c>
      <c r="I210" s="3" t="n">
        <v>67.5</v>
      </c>
      <c r="J210" s="3" t="n">
        <v>69.09999999999999</v>
      </c>
      <c r="K210" s="2" t="inlineStr">
        <is>
          <t>New partnership threat; accelerate influencer program</t>
        </is>
      </c>
    </row>
    <row r="211">
      <c r="A211" s="4" t="inlineStr">
        <is>
          <t>W42</t>
        </is>
      </c>
      <c r="B211" s="4" t="inlineStr">
        <is>
          <t>Bio Partner</t>
        </is>
      </c>
      <c r="C211" s="4" t="inlineStr">
        <is>
          <t>Y</t>
        </is>
      </c>
      <c r="D211" s="4" t="inlineStr">
        <is>
          <t>Free shipping on orders over CHF 100</t>
        </is>
      </c>
      <c r="E211" s="5" t="inlineStr">
        <is>
          <t>Y</t>
        </is>
      </c>
      <c r="F211" s="5" t="n">
        <v>20.6</v>
      </c>
      <c r="G211" s="4" t="inlineStr"/>
      <c r="H211" s="5" t="inlineStr">
        <is>
          <t>N</t>
        </is>
      </c>
      <c r="I211" s="5" t="n">
        <v>61.6</v>
      </c>
      <c r="J211" s="5" t="n">
        <v>26.5</v>
      </c>
      <c r="K211" s="4" t="inlineStr">
        <is>
          <t>Competitor weakness in retention; reinforce loyalty messaging</t>
        </is>
      </c>
    </row>
    <row r="212">
      <c r="A212" s="2" t="inlineStr">
        <is>
          <t>W43</t>
        </is>
      </c>
      <c r="B212" s="2" t="inlineStr">
        <is>
          <t>HelloFresh CH</t>
        </is>
      </c>
      <c r="C212" s="2" t="inlineStr">
        <is>
          <t>N</t>
        </is>
      </c>
      <c r="D212" s="2" t="inlineStr"/>
      <c r="E212" s="3" t="inlineStr">
        <is>
          <t>N</t>
        </is>
      </c>
      <c r="F212" s="3" t="n">
        <v>39.1</v>
      </c>
      <c r="G212" s="2" t="inlineStr"/>
      <c r="H212" s="3" t="inlineStr">
        <is>
          <t>N</t>
        </is>
      </c>
      <c r="I212" s="3" t="n">
        <v>48</v>
      </c>
      <c r="J212" s="3" t="n">
        <v>78.59999999999999</v>
      </c>
      <c r="K212" s="2" t="inlineStr">
        <is>
          <t>Budget concentration in specific channel; diversify spend</t>
        </is>
      </c>
    </row>
    <row r="213">
      <c r="A213" s="4" t="inlineStr">
        <is>
          <t>W43</t>
        </is>
      </c>
      <c r="B213" s="4" t="inlineStr">
        <is>
          <t>Marley Spoon</t>
        </is>
      </c>
      <c r="C213" s="4" t="inlineStr">
        <is>
          <t>N</t>
        </is>
      </c>
      <c r="D213" s="4" t="inlineStr"/>
      <c r="E213" s="5" t="inlineStr">
        <is>
          <t>N</t>
        </is>
      </c>
      <c r="F213" s="5" t="n">
        <v>40</v>
      </c>
      <c r="G213" s="4" t="inlineStr"/>
      <c r="H213" s="5" t="inlineStr">
        <is>
          <t>N</t>
        </is>
      </c>
      <c r="I213" s="5" t="n">
        <v>59.9</v>
      </c>
      <c r="J213" s="5" t="n">
        <v>29.9</v>
      </c>
      <c r="K213" s="4" t="inlineStr">
        <is>
          <t>Audience overlap high; differentiate on brand values</t>
        </is>
      </c>
    </row>
    <row r="214">
      <c r="A214" s="2" t="inlineStr">
        <is>
          <t>W43</t>
        </is>
      </c>
      <c r="B214" s="2" t="inlineStr">
        <is>
          <t>Farmy</t>
        </is>
      </c>
      <c r="C214" s="2" t="inlineStr">
        <is>
          <t>Y</t>
        </is>
      </c>
      <c r="D214" s="2" t="inlineStr">
        <is>
          <t>Student discount 15%</t>
        </is>
      </c>
      <c r="E214" s="3" t="inlineStr">
        <is>
          <t>N</t>
        </is>
      </c>
      <c r="F214" s="3" t="n">
        <v>38.6</v>
      </c>
      <c r="G214" s="2" t="inlineStr"/>
      <c r="H214" s="3" t="inlineStr">
        <is>
          <t>Y</t>
        </is>
      </c>
      <c r="I214" s="3" t="n">
        <v>46.6</v>
      </c>
      <c r="J214" s="3" t="n">
        <v>67.3</v>
      </c>
      <c r="K214" s="2" t="inlineStr">
        <is>
          <t>New audience segment activation; monitor LTV implications</t>
        </is>
      </c>
    </row>
    <row r="215">
      <c r="A215" s="4" t="inlineStr">
        <is>
          <t>W43</t>
        </is>
      </c>
      <c r="B215" s="4" t="inlineStr">
        <is>
          <t>Alnatura Online</t>
        </is>
      </c>
      <c r="C215" s="4" t="inlineStr">
        <is>
          <t>N</t>
        </is>
      </c>
      <c r="D215" s="4" t="inlineStr"/>
      <c r="E215" s="5" t="inlineStr">
        <is>
          <t>N</t>
        </is>
      </c>
      <c r="F215" s="5" t="n">
        <v>26.5</v>
      </c>
      <c r="G215" s="4" t="inlineStr"/>
      <c r="H215" s="5" t="inlineStr">
        <is>
          <t>N</t>
        </is>
      </c>
      <c r="I215" s="5" t="n">
        <v>30.2</v>
      </c>
      <c r="J215" s="5" t="n">
        <v>22.1</v>
      </c>
      <c r="K215" s="4" t="inlineStr">
        <is>
          <t>Audience overlap high; differentiate on brand values</t>
        </is>
      </c>
    </row>
    <row r="216">
      <c r="A216" s="2" t="inlineStr">
        <is>
          <t>W43</t>
        </is>
      </c>
      <c r="B216" s="2" t="inlineStr">
        <is>
          <t>Bio Partner</t>
        </is>
      </c>
      <c r="C216" s="2" t="inlineStr">
        <is>
          <t>N</t>
        </is>
      </c>
      <c r="D216" s="2" t="inlineStr"/>
      <c r="E216" s="3" t="inlineStr">
        <is>
          <t>Y</t>
        </is>
      </c>
      <c r="F216" s="3" t="n">
        <v>16.6</v>
      </c>
      <c r="G216" s="2" t="inlineStr"/>
      <c r="H216" s="3" t="inlineStr">
        <is>
          <t>N</t>
        </is>
      </c>
      <c r="I216" s="3" t="n">
        <v>72.09999999999999</v>
      </c>
      <c r="J216" s="3" t="n">
        <v>66.09999999999999</v>
      </c>
      <c r="K216" s="2" t="inlineStr">
        <is>
          <t>Competitor pricing pressure; consider bundle repositioning</t>
        </is>
      </c>
    </row>
    <row r="217">
      <c r="A217" s="4" t="inlineStr">
        <is>
          <t>W44</t>
        </is>
      </c>
      <c r="B217" s="4" t="inlineStr">
        <is>
          <t>HelloFresh CH</t>
        </is>
      </c>
      <c r="C217" s="4" t="inlineStr">
        <is>
          <t>N</t>
        </is>
      </c>
      <c r="D217" s="4" t="inlineStr"/>
      <c r="E217" s="5" t="inlineStr">
        <is>
          <t>Y</t>
        </is>
      </c>
      <c r="F217" s="5" t="n">
        <v>22.1</v>
      </c>
      <c r="G217" s="4" t="inlineStr"/>
      <c r="H217" s="5" t="inlineStr">
        <is>
          <t>N</t>
        </is>
      </c>
      <c r="I217" s="5" t="n">
        <v>65.3</v>
      </c>
      <c r="J217" s="5" t="n">
        <v>16.9</v>
      </c>
      <c r="K217" s="4" t="inlineStr">
        <is>
          <t>Format innovation detected; test similar approach next quarter</t>
        </is>
      </c>
    </row>
    <row r="218">
      <c r="A218" s="2" t="inlineStr">
        <is>
          <t>W44</t>
        </is>
      </c>
      <c r="B218" s="2" t="inlineStr">
        <is>
          <t>Marley Spoon</t>
        </is>
      </c>
      <c r="C218" s="2" t="inlineStr">
        <is>
          <t>Y</t>
        </is>
      </c>
      <c r="D218" s="2" t="inlineStr">
        <is>
          <t>Corporate gifting bulk discount</t>
        </is>
      </c>
      <c r="E218" s="3" t="inlineStr">
        <is>
          <t>Y</t>
        </is>
      </c>
      <c r="F218" s="3" t="n">
        <v>40.9</v>
      </c>
      <c r="G218" s="2" t="inlineStr">
        <is>
          <t>YouTube Shorts with countdown timer</t>
        </is>
      </c>
      <c r="H218" s="3" t="inlineStr">
        <is>
          <t>N</t>
        </is>
      </c>
      <c r="I218" s="3" t="n">
        <v>75.90000000000001</v>
      </c>
      <c r="J218" s="3" t="n">
        <v>15.5</v>
      </c>
      <c r="K218" s="2" t="inlineStr">
        <is>
          <t>New partnership threat; accelerate influencer program</t>
        </is>
      </c>
    </row>
    <row r="219">
      <c r="A219" s="4" t="inlineStr">
        <is>
          <t>W44</t>
        </is>
      </c>
      <c r="B219" s="4" t="inlineStr">
        <is>
          <t>Farmy</t>
        </is>
      </c>
      <c r="C219" s="4" t="inlineStr">
        <is>
          <t>Y</t>
        </is>
      </c>
      <c r="D219" s="4" t="inlineStr">
        <is>
          <t>Partnership promotion with fitness brand</t>
        </is>
      </c>
      <c r="E219" s="5" t="inlineStr">
        <is>
          <t>Y</t>
        </is>
      </c>
      <c r="F219" s="5" t="n">
        <v>15.1</v>
      </c>
      <c r="G219" s="4" t="inlineStr"/>
      <c r="H219" s="5" t="inlineStr">
        <is>
          <t>N</t>
        </is>
      </c>
      <c r="I219" s="5" t="n">
        <v>30.4</v>
      </c>
      <c r="J219" s="5" t="n">
        <v>60.5</v>
      </c>
      <c r="K219" s="4" t="inlineStr">
        <is>
          <t>Budget concentration in specific channel; diversify spend</t>
        </is>
      </c>
    </row>
    <row r="220">
      <c r="A220" s="2" t="inlineStr">
        <is>
          <t>W44</t>
        </is>
      </c>
      <c r="B220" s="2" t="inlineStr">
        <is>
          <t>Alnatura Online</t>
        </is>
      </c>
      <c r="C220" s="2" t="inlineStr">
        <is>
          <t>N</t>
        </is>
      </c>
      <c r="D220" s="2" t="inlineStr"/>
      <c r="E220" s="3" t="inlineStr">
        <is>
          <t>Y</t>
        </is>
      </c>
      <c r="F220" s="3" t="n">
        <v>22.3</v>
      </c>
      <c r="G220" s="2" t="inlineStr">
        <is>
          <t>Snapchat AR lens filter</t>
        </is>
      </c>
      <c r="H220" s="3" t="inlineStr">
        <is>
          <t>N</t>
        </is>
      </c>
      <c r="I220" s="3" t="n">
        <v>79</v>
      </c>
      <c r="J220" s="3" t="n">
        <v>68</v>
      </c>
      <c r="K220" s="2" t="inlineStr">
        <is>
          <t>Audience overlap high; differentiate on brand values</t>
        </is>
      </c>
    </row>
    <row r="221">
      <c r="A221" s="4" t="inlineStr">
        <is>
          <t>W44</t>
        </is>
      </c>
      <c r="B221" s="4" t="inlineStr">
        <is>
          <t>Bio Partner</t>
        </is>
      </c>
      <c r="C221" s="4" t="inlineStr">
        <is>
          <t>N</t>
        </is>
      </c>
      <c r="D221" s="4" t="inlineStr"/>
      <c r="E221" s="5" t="inlineStr">
        <is>
          <t>N</t>
        </is>
      </c>
      <c r="F221" s="5" t="n">
        <v>39.7</v>
      </c>
      <c r="G221" s="4" t="inlineStr">
        <is>
          <t>LinkedIn carousel for B2B2C</t>
        </is>
      </c>
      <c r="H221" s="5" t="inlineStr">
        <is>
          <t>N</t>
        </is>
      </c>
      <c r="I221" s="5" t="n">
        <v>63.3</v>
      </c>
      <c r="J221" s="5" t="n">
        <v>79.59999999999999</v>
      </c>
      <c r="K221" s="4" t="inlineStr">
        <is>
          <t>New partnership threat; accelerate influencer program</t>
        </is>
      </c>
    </row>
    <row r="222">
      <c r="A222" s="2" t="inlineStr">
        <is>
          <t>W45</t>
        </is>
      </c>
      <c r="B222" s="2" t="inlineStr">
        <is>
          <t>HelloFresh CH</t>
        </is>
      </c>
      <c r="C222" s="2" t="inlineStr">
        <is>
          <t>Y</t>
        </is>
      </c>
      <c r="D222" s="2" t="inlineStr">
        <is>
          <t>First box 50% off for new subscribers</t>
        </is>
      </c>
      <c r="E222" s="3" t="inlineStr">
        <is>
          <t>Y</t>
        </is>
      </c>
      <c r="F222" s="3" t="n">
        <v>19.3</v>
      </c>
      <c r="G222" s="2" t="inlineStr"/>
      <c r="H222" s="3" t="inlineStr">
        <is>
          <t>Y</t>
        </is>
      </c>
      <c r="I222" s="3" t="n">
        <v>57.3</v>
      </c>
      <c r="J222" s="3" t="n">
        <v>72.90000000000001</v>
      </c>
      <c r="K222" s="2" t="inlineStr">
        <is>
          <t>Audience overlap high; differentiate on brand values</t>
        </is>
      </c>
    </row>
    <row r="223">
      <c r="A223" s="4" t="inlineStr">
        <is>
          <t>W45</t>
        </is>
      </c>
      <c r="B223" s="4" t="inlineStr">
        <is>
          <t>Marley Spoon</t>
        </is>
      </c>
      <c r="C223" s="4" t="inlineStr">
        <is>
          <t>N</t>
        </is>
      </c>
      <c r="D223" s="4" t="inlineStr"/>
      <c r="E223" s="5" t="inlineStr">
        <is>
          <t>N</t>
        </is>
      </c>
      <c r="F223" s="5" t="n">
        <v>34.9</v>
      </c>
      <c r="G223" s="4" t="inlineStr"/>
      <c r="H223" s="5" t="inlineStr">
        <is>
          <t>N</t>
        </is>
      </c>
      <c r="I223" s="5" t="n">
        <v>42.9</v>
      </c>
      <c r="J223" s="5" t="n">
        <v>25.9</v>
      </c>
      <c r="K223" s="4" t="inlineStr">
        <is>
          <t>Competitor weakness in retention; reinforce loyalty messaging</t>
        </is>
      </c>
    </row>
    <row r="224">
      <c r="A224" s="2" t="inlineStr">
        <is>
          <t>W45</t>
        </is>
      </c>
      <c r="B224" s="2" t="inlineStr">
        <is>
          <t>Farmy</t>
        </is>
      </c>
      <c r="C224" s="2" t="inlineStr">
        <is>
          <t>N</t>
        </is>
      </c>
      <c r="D224" s="2" t="inlineStr"/>
      <c r="E224" s="3" t="inlineStr">
        <is>
          <t>N</t>
        </is>
      </c>
      <c r="F224" s="3" t="n">
        <v>9.4</v>
      </c>
      <c r="G224" s="2" t="inlineStr"/>
      <c r="H224" s="3" t="inlineStr">
        <is>
          <t>N</t>
        </is>
      </c>
      <c r="I224" s="3" t="n">
        <v>50.9</v>
      </c>
      <c r="J224" s="3" t="n">
        <v>34.2</v>
      </c>
      <c r="K224" s="2" t="inlineStr">
        <is>
          <t>New partnership threat; accelerate influencer program</t>
        </is>
      </c>
    </row>
    <row r="225">
      <c r="A225" s="4" t="inlineStr">
        <is>
          <t>W45</t>
        </is>
      </c>
      <c r="B225" s="4" t="inlineStr">
        <is>
          <t>Alnatura Online</t>
        </is>
      </c>
      <c r="C225" s="4" t="inlineStr">
        <is>
          <t>Y</t>
        </is>
      </c>
      <c r="D225" s="4" t="inlineStr">
        <is>
          <t>Bundle discount (2 boxes at 20% off)</t>
        </is>
      </c>
      <c r="E225" s="5" t="inlineStr">
        <is>
          <t>N</t>
        </is>
      </c>
      <c r="F225" s="5" t="n">
        <v>41.1</v>
      </c>
      <c r="G225" s="4" t="inlineStr"/>
      <c r="H225" s="5" t="inlineStr">
        <is>
          <t>N</t>
        </is>
      </c>
      <c r="I225" s="5" t="n">
        <v>69.59999999999999</v>
      </c>
      <c r="J225" s="5" t="n">
        <v>28.9</v>
      </c>
      <c r="K225" s="4" t="inlineStr">
        <is>
          <t>Budget concentration in specific channel; diversify spend</t>
        </is>
      </c>
    </row>
    <row r="226">
      <c r="A226" s="2" t="inlineStr">
        <is>
          <t>W45</t>
        </is>
      </c>
      <c r="B226" s="2" t="inlineStr">
        <is>
          <t>Bio Partner</t>
        </is>
      </c>
      <c r="C226" s="2" t="inlineStr">
        <is>
          <t>N</t>
        </is>
      </c>
      <c r="D226" s="2" t="inlineStr"/>
      <c r="E226" s="3" t="inlineStr">
        <is>
          <t>N</t>
        </is>
      </c>
      <c r="F226" s="3" t="n">
        <v>26.5</v>
      </c>
      <c r="G226" s="2" t="inlineStr"/>
      <c r="H226" s="3" t="inlineStr">
        <is>
          <t>N</t>
        </is>
      </c>
      <c r="I226" s="3" t="n">
        <v>85.09999999999999</v>
      </c>
      <c r="J226" s="3" t="n">
        <v>11.5</v>
      </c>
      <c r="K226" s="2" t="inlineStr">
        <is>
          <t>Market saturation in peak seasons; shift to off-peak targeting</t>
        </is>
      </c>
    </row>
    <row r="227">
      <c r="A227" s="4" t="inlineStr">
        <is>
          <t>W46</t>
        </is>
      </c>
      <c r="B227" s="4" t="inlineStr">
        <is>
          <t>HelloFresh CH</t>
        </is>
      </c>
      <c r="C227" s="4" t="inlineStr">
        <is>
          <t>N</t>
        </is>
      </c>
      <c r="D227" s="4" t="inlineStr"/>
      <c r="E227" s="5" t="inlineStr">
        <is>
          <t>Y</t>
        </is>
      </c>
      <c r="F227" s="5" t="n">
        <v>7.7</v>
      </c>
      <c r="G227" s="4" t="inlineStr">
        <is>
          <t>Snapchat AR lens filter</t>
        </is>
      </c>
      <c r="H227" s="5" t="inlineStr">
        <is>
          <t>N</t>
        </is>
      </c>
      <c r="I227" s="5" t="n">
        <v>40.9</v>
      </c>
      <c r="J227" s="5" t="n">
        <v>70.2</v>
      </c>
      <c r="K227" s="4" t="inlineStr">
        <is>
          <t>New partnership threat; accelerate influencer program</t>
        </is>
      </c>
    </row>
    <row r="228">
      <c r="A228" s="2" t="inlineStr">
        <is>
          <t>W46</t>
        </is>
      </c>
      <c r="B228" s="2" t="inlineStr">
        <is>
          <t>Marley Spoon</t>
        </is>
      </c>
      <c r="C228" s="2" t="inlineStr">
        <is>
          <t>N</t>
        </is>
      </c>
      <c r="D228" s="2" t="inlineStr"/>
      <c r="E228" s="3" t="inlineStr">
        <is>
          <t>N</t>
        </is>
      </c>
      <c r="F228" s="3" t="n">
        <v>25.8</v>
      </c>
      <c r="G228" s="2" t="inlineStr"/>
      <c r="H228" s="3" t="inlineStr">
        <is>
          <t>N</t>
        </is>
      </c>
      <c r="I228" s="3" t="n">
        <v>44.5</v>
      </c>
      <c r="J228" s="3" t="n">
        <v>48.8</v>
      </c>
      <c r="K228" s="2" t="inlineStr">
        <is>
          <t>New partnership threat; accelerate influencer program</t>
        </is>
      </c>
    </row>
    <row r="229">
      <c r="A229" s="4" t="inlineStr">
        <is>
          <t>W46</t>
        </is>
      </c>
      <c r="B229" s="4" t="inlineStr">
        <is>
          <t>Farmy</t>
        </is>
      </c>
      <c r="C229" s="4" t="inlineStr">
        <is>
          <t>Y</t>
        </is>
      </c>
      <c r="D229" s="4" t="inlineStr">
        <is>
          <t>Free shipping on orders over CHF 100</t>
        </is>
      </c>
      <c r="E229" s="5" t="inlineStr">
        <is>
          <t>Y</t>
        </is>
      </c>
      <c r="F229" s="5" t="n">
        <v>43</v>
      </c>
      <c r="G229" s="4" t="inlineStr"/>
      <c r="H229" s="5" t="inlineStr">
        <is>
          <t>N</t>
        </is>
      </c>
      <c r="I229" s="5" t="n">
        <v>28.2</v>
      </c>
      <c r="J229" s="5" t="n">
        <v>60</v>
      </c>
      <c r="K229" s="4" t="inlineStr">
        <is>
          <t>Budget concentration in specific channel; diversify spend</t>
        </is>
      </c>
    </row>
    <row r="230">
      <c r="A230" s="2" t="inlineStr">
        <is>
          <t>W46</t>
        </is>
      </c>
      <c r="B230" s="2" t="inlineStr">
        <is>
          <t>Alnatura Online</t>
        </is>
      </c>
      <c r="C230" s="2" t="inlineStr">
        <is>
          <t>Y</t>
        </is>
      </c>
      <c r="D230" s="2" t="inlineStr">
        <is>
          <t>Partnership promotion with fitness brand</t>
        </is>
      </c>
      <c r="E230" s="3" t="inlineStr">
        <is>
          <t>Y</t>
        </is>
      </c>
      <c r="F230" s="3" t="n">
        <v>20.6</v>
      </c>
      <c r="G230" s="2" t="inlineStr"/>
      <c r="H230" s="3" t="inlineStr">
        <is>
          <t>N</t>
        </is>
      </c>
      <c r="I230" s="3" t="n">
        <v>51.1</v>
      </c>
      <c r="J230" s="3" t="n">
        <v>61.1</v>
      </c>
      <c r="K230" s="2" t="inlineStr">
        <is>
          <t>Format innovation detected; test similar approach next quarter</t>
        </is>
      </c>
    </row>
    <row r="231">
      <c r="A231" s="4" t="inlineStr">
        <is>
          <t>W46</t>
        </is>
      </c>
      <c r="B231" s="4" t="inlineStr">
        <is>
          <t>Bio Partner</t>
        </is>
      </c>
      <c r="C231" s="4" t="inlineStr">
        <is>
          <t>N</t>
        </is>
      </c>
      <c r="D231" s="4" t="inlineStr"/>
      <c r="E231" s="5" t="inlineStr">
        <is>
          <t>Y</t>
        </is>
      </c>
      <c r="F231" s="5" t="n">
        <v>14.1</v>
      </c>
      <c r="G231" s="4" t="inlineStr">
        <is>
          <t>LinkedIn carousel for B2B2C</t>
        </is>
      </c>
      <c r="H231" s="5" t="inlineStr">
        <is>
          <t>N</t>
        </is>
      </c>
      <c r="I231" s="5" t="n">
        <v>28.1</v>
      </c>
      <c r="J231" s="5" t="n">
        <v>13.6</v>
      </c>
      <c r="K231" s="4" t="inlineStr">
        <is>
          <t>CPC inflation indicates increased budget allocation; optimize targeting</t>
        </is>
      </c>
    </row>
    <row r="232">
      <c r="A232" s="2" t="inlineStr">
        <is>
          <t>W47</t>
        </is>
      </c>
      <c r="B232" s="2" t="inlineStr">
        <is>
          <t>HelloFresh CH</t>
        </is>
      </c>
      <c r="C232" s="2" t="inlineStr">
        <is>
          <t>N</t>
        </is>
      </c>
      <c r="D232" s="2" t="inlineStr"/>
      <c r="E232" s="3" t="inlineStr">
        <is>
          <t>N</t>
        </is>
      </c>
      <c r="F232" s="3" t="n">
        <v>18.5</v>
      </c>
      <c r="G232" s="2" t="inlineStr"/>
      <c r="H232" s="3" t="inlineStr">
        <is>
          <t>N</t>
        </is>
      </c>
      <c r="I232" s="3" t="n">
        <v>94.59999999999999</v>
      </c>
      <c r="J232" s="3" t="n">
        <v>56.9</v>
      </c>
      <c r="K232" s="2" t="inlineStr">
        <is>
          <t>Budget concentration in specific channel; diversify spend</t>
        </is>
      </c>
    </row>
    <row r="233">
      <c r="A233" s="4" t="inlineStr">
        <is>
          <t>W47</t>
        </is>
      </c>
      <c r="B233" s="4" t="inlineStr">
        <is>
          <t>Marley Spoon</t>
        </is>
      </c>
      <c r="C233" s="4" t="inlineStr">
        <is>
          <t>Y</t>
        </is>
      </c>
      <c r="D233" s="4" t="inlineStr">
        <is>
          <t>Student discount 15%</t>
        </is>
      </c>
      <c r="E233" s="5" t="inlineStr">
        <is>
          <t>Y</t>
        </is>
      </c>
      <c r="F233" s="5" t="n">
        <v>21.1</v>
      </c>
      <c r="G233" s="4" t="inlineStr">
        <is>
          <t>LinkedIn carousel for B2B2C</t>
        </is>
      </c>
      <c r="H233" s="5" t="inlineStr">
        <is>
          <t>N</t>
        </is>
      </c>
      <c r="I233" s="5" t="n">
        <v>78.3</v>
      </c>
      <c r="J233" s="5" t="n">
        <v>54.8</v>
      </c>
      <c r="K233" s="4" t="inlineStr">
        <is>
          <t>Competitor pricing pressure; consider bundle repositioning</t>
        </is>
      </c>
    </row>
    <row r="234">
      <c r="A234" s="2" t="inlineStr">
        <is>
          <t>W47</t>
        </is>
      </c>
      <c r="B234" s="2" t="inlineStr">
        <is>
          <t>Farmy</t>
        </is>
      </c>
      <c r="C234" s="2" t="inlineStr">
        <is>
          <t>N</t>
        </is>
      </c>
      <c r="D234" s="2" t="inlineStr"/>
      <c r="E234" s="3" t="inlineStr">
        <is>
          <t>N</t>
        </is>
      </c>
      <c r="F234" s="3" t="n">
        <v>14.8</v>
      </c>
      <c r="G234" s="2" t="inlineStr">
        <is>
          <t>Reddit targeted community ads</t>
        </is>
      </c>
      <c r="H234" s="3" t="inlineStr">
        <is>
          <t>Y</t>
        </is>
      </c>
      <c r="I234" s="3" t="n">
        <v>54.1</v>
      </c>
      <c r="J234" s="3" t="n">
        <v>66.90000000000001</v>
      </c>
      <c r="K234" s="2" t="inlineStr">
        <is>
          <t>Market saturation in peak seasons; shift to off-peak targeting</t>
        </is>
      </c>
    </row>
    <row r="235">
      <c r="A235" s="4" t="inlineStr">
        <is>
          <t>W47</t>
        </is>
      </c>
      <c r="B235" s="4" t="inlineStr">
        <is>
          <t>Alnatura Online</t>
        </is>
      </c>
      <c r="C235" s="4" t="inlineStr">
        <is>
          <t>N</t>
        </is>
      </c>
      <c r="D235" s="4" t="inlineStr"/>
      <c r="E235" s="5" t="inlineStr">
        <is>
          <t>N</t>
        </is>
      </c>
      <c r="F235" s="5" t="n">
        <v>14.8</v>
      </c>
      <c r="G235" s="4" t="inlineStr">
        <is>
          <t>Podcast sponsorship integration</t>
        </is>
      </c>
      <c r="H235" s="5" t="inlineStr">
        <is>
          <t>N</t>
        </is>
      </c>
      <c r="I235" s="5" t="n">
        <v>35.7</v>
      </c>
      <c r="J235" s="5" t="n">
        <v>54.4</v>
      </c>
      <c r="K235" s="4" t="inlineStr">
        <is>
          <t>Audience overlap high; differentiate on brand values</t>
        </is>
      </c>
    </row>
    <row r="236">
      <c r="A236" s="2" t="inlineStr">
        <is>
          <t>W47</t>
        </is>
      </c>
      <c r="B236" s="2" t="inlineStr">
        <is>
          <t>Bio Partner</t>
        </is>
      </c>
      <c r="C236" s="2" t="inlineStr">
        <is>
          <t>N</t>
        </is>
      </c>
      <c r="D236" s="2" t="inlineStr"/>
      <c r="E236" s="3" t="inlineStr">
        <is>
          <t>Y</t>
        </is>
      </c>
      <c r="F236" s="3" t="n">
        <v>15.2</v>
      </c>
      <c r="G236" s="2" t="inlineStr"/>
      <c r="H236" s="3" t="inlineStr">
        <is>
          <t>Y</t>
        </is>
      </c>
      <c r="I236" s="3" t="n">
        <v>89.5</v>
      </c>
      <c r="J236" s="3" t="n">
        <v>33.5</v>
      </c>
      <c r="K236" s="2" t="inlineStr">
        <is>
          <t>Promotion fatigue potential in market; emphasize quality over price</t>
        </is>
      </c>
    </row>
    <row r="237">
      <c r="A237" s="4" t="inlineStr">
        <is>
          <t>W48</t>
        </is>
      </c>
      <c r="B237" s="4" t="inlineStr">
        <is>
          <t>HelloFresh CH</t>
        </is>
      </c>
      <c r="C237" s="4" t="inlineStr">
        <is>
          <t>N</t>
        </is>
      </c>
      <c r="D237" s="4" t="inlineStr"/>
      <c r="E237" s="5" t="inlineStr">
        <is>
          <t>N</t>
        </is>
      </c>
      <c r="F237" s="5" t="n">
        <v>22.7</v>
      </c>
      <c r="G237" s="4" t="inlineStr"/>
      <c r="H237" s="5" t="inlineStr">
        <is>
          <t>N</t>
        </is>
      </c>
      <c r="I237" s="5" t="n">
        <v>67.7</v>
      </c>
      <c r="J237" s="5" t="n">
        <v>54.2</v>
      </c>
      <c r="K237" s="4" t="inlineStr">
        <is>
          <t>New partnership threat; accelerate influencer program</t>
        </is>
      </c>
    </row>
    <row r="238">
      <c r="A238" s="2" t="inlineStr">
        <is>
          <t>W48</t>
        </is>
      </c>
      <c r="B238" s="2" t="inlineStr">
        <is>
          <t>Marley Spoon</t>
        </is>
      </c>
      <c r="C238" s="2" t="inlineStr">
        <is>
          <t>N</t>
        </is>
      </c>
      <c r="D238" s="2" t="inlineStr"/>
      <c r="E238" s="3" t="inlineStr">
        <is>
          <t>N</t>
        </is>
      </c>
      <c r="F238" s="3" t="n">
        <v>18.1</v>
      </c>
      <c r="G238" s="2" t="inlineStr"/>
      <c r="H238" s="3" t="inlineStr">
        <is>
          <t>N</t>
        </is>
      </c>
      <c r="I238" s="3" t="n">
        <v>59.9</v>
      </c>
      <c r="J238" s="3" t="n">
        <v>11.5</v>
      </c>
      <c r="K238" s="2" t="inlineStr">
        <is>
          <t>CPC inflation indicates increased budget allocation; optimize targeting</t>
        </is>
      </c>
    </row>
    <row r="239">
      <c r="A239" s="4" t="inlineStr">
        <is>
          <t>W48</t>
        </is>
      </c>
      <c r="B239" s="4" t="inlineStr">
        <is>
          <t>Farmy</t>
        </is>
      </c>
      <c r="C239" s="4" t="inlineStr">
        <is>
          <t>N</t>
        </is>
      </c>
      <c r="D239" s="4" t="inlineStr"/>
      <c r="E239" s="5" t="inlineStr">
        <is>
          <t>Y</t>
        </is>
      </c>
      <c r="F239" s="5" t="n">
        <v>13.2</v>
      </c>
      <c r="G239" s="4" t="inlineStr">
        <is>
          <t>Interactive Stories on Instagram</t>
        </is>
      </c>
      <c r="H239" s="5" t="inlineStr">
        <is>
          <t>Y</t>
        </is>
      </c>
      <c r="I239" s="5" t="n">
        <v>52.6</v>
      </c>
      <c r="J239" s="5" t="n">
        <v>76.59999999999999</v>
      </c>
      <c r="K239" s="4" t="inlineStr">
        <is>
          <t>Format innovation detected; test similar approach next quarter</t>
        </is>
      </c>
    </row>
    <row r="240">
      <c r="A240" s="2" t="inlineStr">
        <is>
          <t>W48</t>
        </is>
      </c>
      <c r="B240" s="2" t="inlineStr">
        <is>
          <t>Alnatura Online</t>
        </is>
      </c>
      <c r="C240" s="2" t="inlineStr">
        <is>
          <t>N</t>
        </is>
      </c>
      <c r="D240" s="2" t="inlineStr"/>
      <c r="E240" s="3" t="inlineStr">
        <is>
          <t>Y</t>
        </is>
      </c>
      <c r="F240" s="3" t="n">
        <v>15.7</v>
      </c>
      <c r="G240" s="2" t="inlineStr"/>
      <c r="H240" s="3" t="inlineStr">
        <is>
          <t>N</t>
        </is>
      </c>
      <c r="I240" s="3" t="n">
        <v>41.2</v>
      </c>
      <c r="J240" s="3" t="n">
        <v>10.2</v>
      </c>
      <c r="K240" s="2" t="inlineStr">
        <is>
          <t>Budget concentration in specific channel; diversify spend</t>
        </is>
      </c>
    </row>
    <row r="241">
      <c r="A241" s="4" t="inlineStr">
        <is>
          <t>W48</t>
        </is>
      </c>
      <c r="B241" s="4" t="inlineStr">
        <is>
          <t>Bio Partner</t>
        </is>
      </c>
      <c r="C241" s="4" t="inlineStr">
        <is>
          <t>N</t>
        </is>
      </c>
      <c r="D241" s="4" t="inlineStr"/>
      <c r="E241" s="5" t="inlineStr">
        <is>
          <t>N</t>
        </is>
      </c>
      <c r="F241" s="5" t="n">
        <v>35.5</v>
      </c>
      <c r="G241" s="4" t="inlineStr"/>
      <c r="H241" s="5" t="inlineStr">
        <is>
          <t>N</t>
        </is>
      </c>
      <c r="I241" s="5" t="n">
        <v>94.90000000000001</v>
      </c>
      <c r="J241" s="5" t="n">
        <v>59.6</v>
      </c>
      <c r="K241" s="4" t="inlineStr">
        <is>
          <t>CPC inflation indicates increased budget allocation; optimize targeting</t>
        </is>
      </c>
    </row>
    <row r="242">
      <c r="A242" s="2" t="inlineStr">
        <is>
          <t>W49</t>
        </is>
      </c>
      <c r="B242" s="2" t="inlineStr">
        <is>
          <t>HelloFresh CH</t>
        </is>
      </c>
      <c r="C242" s="2" t="inlineStr">
        <is>
          <t>Y</t>
        </is>
      </c>
      <c r="D242" s="2" t="inlineStr">
        <is>
          <t>Family meal combo pricing</t>
        </is>
      </c>
      <c r="E242" s="3" t="inlineStr">
        <is>
          <t>N</t>
        </is>
      </c>
      <c r="F242" s="3" t="n">
        <v>40.6</v>
      </c>
      <c r="G242" s="2" t="inlineStr"/>
      <c r="H242" s="3" t="inlineStr">
        <is>
          <t>N</t>
        </is>
      </c>
      <c r="I242" s="3" t="n">
        <v>19.4</v>
      </c>
      <c r="J242" s="3" t="n">
        <v>62.8</v>
      </c>
      <c r="K242" s="2" t="inlineStr">
        <is>
          <t>Format innovation detected; test similar approach next quarter</t>
        </is>
      </c>
    </row>
    <row r="243">
      <c r="A243" s="4" t="inlineStr">
        <is>
          <t>W49</t>
        </is>
      </c>
      <c r="B243" s="4" t="inlineStr">
        <is>
          <t>Marley Spoon</t>
        </is>
      </c>
      <c r="C243" s="4" t="inlineStr">
        <is>
          <t>N</t>
        </is>
      </c>
      <c r="D243" s="4" t="inlineStr"/>
      <c r="E243" s="5" t="inlineStr">
        <is>
          <t>Y</t>
        </is>
      </c>
      <c r="F243" s="5" t="n">
        <v>22</v>
      </c>
      <c r="G243" s="4" t="inlineStr"/>
      <c r="H243" s="5" t="inlineStr">
        <is>
          <t>N</t>
        </is>
      </c>
      <c r="I243" s="5" t="n">
        <v>40.2</v>
      </c>
      <c r="J243" s="5" t="n">
        <v>75.09999999999999</v>
      </c>
      <c r="K243" s="4" t="inlineStr">
        <is>
          <t>New partnership threat; accelerate influencer program</t>
        </is>
      </c>
    </row>
    <row r="244">
      <c r="A244" s="2" t="inlineStr">
        <is>
          <t>W49</t>
        </is>
      </c>
      <c r="B244" s="2" t="inlineStr">
        <is>
          <t>Farmy</t>
        </is>
      </c>
      <c r="C244" s="2" t="inlineStr">
        <is>
          <t>N</t>
        </is>
      </c>
      <c r="D244" s="2" t="inlineStr"/>
      <c r="E244" s="3" t="inlineStr">
        <is>
          <t>N</t>
        </is>
      </c>
      <c r="F244" s="3" t="n">
        <v>11.9</v>
      </c>
      <c r="G244" s="2" t="inlineStr">
        <is>
          <t>Pinterest Idea Pin collections</t>
        </is>
      </c>
      <c r="H244" s="3" t="inlineStr">
        <is>
          <t>Y</t>
        </is>
      </c>
      <c r="I244" s="3" t="n">
        <v>92.09999999999999</v>
      </c>
      <c r="J244" s="3" t="n">
        <v>71.2</v>
      </c>
      <c r="K244" s="2" t="inlineStr">
        <is>
          <t>Format innovation detected; test similar approach next quarter</t>
        </is>
      </c>
    </row>
    <row r="245">
      <c r="A245" s="4" t="inlineStr">
        <is>
          <t>W49</t>
        </is>
      </c>
      <c r="B245" s="4" t="inlineStr">
        <is>
          <t>Alnatura Online</t>
        </is>
      </c>
      <c r="C245" s="4" t="inlineStr">
        <is>
          <t>N</t>
        </is>
      </c>
      <c r="D245" s="4" t="inlineStr"/>
      <c r="E245" s="5" t="inlineStr">
        <is>
          <t>N</t>
        </is>
      </c>
      <c r="F245" s="5" t="n">
        <v>23.2</v>
      </c>
      <c r="G245" s="4" t="inlineStr"/>
      <c r="H245" s="5" t="inlineStr">
        <is>
          <t>N</t>
        </is>
      </c>
      <c r="I245" s="5" t="n">
        <v>70</v>
      </c>
      <c r="J245" s="5" t="n">
        <v>78.2</v>
      </c>
      <c r="K245" s="4" t="inlineStr">
        <is>
          <t>Budget concentration in specific channel; diversify spend</t>
        </is>
      </c>
    </row>
    <row r="246">
      <c r="A246" s="2" t="inlineStr">
        <is>
          <t>W49</t>
        </is>
      </c>
      <c r="B246" s="2" t="inlineStr">
        <is>
          <t>Bio Partner</t>
        </is>
      </c>
      <c r="C246" s="2" t="inlineStr">
        <is>
          <t>Y</t>
        </is>
      </c>
      <c r="D246" s="2" t="inlineStr">
        <is>
          <t>Bundle discount (2 boxes at 20% off)</t>
        </is>
      </c>
      <c r="E246" s="3" t="inlineStr">
        <is>
          <t>Y</t>
        </is>
      </c>
      <c r="F246" s="3" t="n">
        <v>17.4</v>
      </c>
      <c r="G246" s="2" t="inlineStr"/>
      <c r="H246" s="3" t="inlineStr">
        <is>
          <t>Y</t>
        </is>
      </c>
      <c r="I246" s="3" t="n">
        <v>73</v>
      </c>
      <c r="J246" s="3" t="n">
        <v>47.9</v>
      </c>
      <c r="K246" s="2" t="inlineStr">
        <is>
          <t>Audience overlap high; differentiate on brand values</t>
        </is>
      </c>
    </row>
    <row r="247">
      <c r="A247" s="4" t="inlineStr">
        <is>
          <t>W50</t>
        </is>
      </c>
      <c r="B247" s="4" t="inlineStr">
        <is>
          <t>HelloFresh CH</t>
        </is>
      </c>
      <c r="C247" s="4" t="inlineStr">
        <is>
          <t>Y</t>
        </is>
      </c>
      <c r="D247" s="4" t="inlineStr">
        <is>
          <t>Student discount 15%</t>
        </is>
      </c>
      <c r="E247" s="5" t="inlineStr">
        <is>
          <t>N</t>
        </is>
      </c>
      <c r="F247" s="5" t="n">
        <v>29.3</v>
      </c>
      <c r="G247" s="4" t="inlineStr">
        <is>
          <t>Reddit targeted community ads</t>
        </is>
      </c>
      <c r="H247" s="5" t="inlineStr">
        <is>
          <t>N</t>
        </is>
      </c>
      <c r="I247" s="5" t="n">
        <v>29.9</v>
      </c>
      <c r="J247" s="5" t="n">
        <v>79.90000000000001</v>
      </c>
      <c r="K247" s="4" t="inlineStr">
        <is>
          <t>Competitor weakness in retention; reinforce loyalty messaging</t>
        </is>
      </c>
    </row>
    <row r="248">
      <c r="A248" s="2" t="inlineStr">
        <is>
          <t>W50</t>
        </is>
      </c>
      <c r="B248" s="2" t="inlineStr">
        <is>
          <t>Marley Spoon</t>
        </is>
      </c>
      <c r="C248" s="2" t="inlineStr">
        <is>
          <t>Y</t>
        </is>
      </c>
      <c r="D248" s="2" t="inlineStr">
        <is>
          <t>Seasonal limited-time offer</t>
        </is>
      </c>
      <c r="E248" s="3" t="inlineStr">
        <is>
          <t>N</t>
        </is>
      </c>
      <c r="F248" s="3" t="n">
        <v>43.5</v>
      </c>
      <c r="G248" s="2" t="inlineStr"/>
      <c r="H248" s="3" t="inlineStr">
        <is>
          <t>N</t>
        </is>
      </c>
      <c r="I248" s="3" t="n">
        <v>51.3</v>
      </c>
      <c r="J248" s="3" t="n">
        <v>30.5</v>
      </c>
      <c r="K248" s="2" t="inlineStr">
        <is>
          <t>Market saturation in peak seasons; shift to off-peak targeting</t>
        </is>
      </c>
    </row>
    <row r="249">
      <c r="A249" s="4" t="inlineStr">
        <is>
          <t>W50</t>
        </is>
      </c>
      <c r="B249" s="4" t="inlineStr">
        <is>
          <t>Farmy</t>
        </is>
      </c>
      <c r="C249" s="4" t="inlineStr">
        <is>
          <t>N</t>
        </is>
      </c>
      <c r="D249" s="4" t="inlineStr"/>
      <c r="E249" s="5" t="inlineStr">
        <is>
          <t>N</t>
        </is>
      </c>
      <c r="F249" s="5" t="n">
        <v>12.5</v>
      </c>
      <c r="G249" s="4" t="inlineStr"/>
      <c r="H249" s="5" t="inlineStr">
        <is>
          <t>N</t>
        </is>
      </c>
      <c r="I249" s="5" t="n">
        <v>73.8</v>
      </c>
      <c r="J249" s="5" t="n">
        <v>73.90000000000001</v>
      </c>
      <c r="K249" s="4" t="inlineStr">
        <is>
          <t>Budget concentration in specific channel; diversify spend</t>
        </is>
      </c>
    </row>
    <row r="250">
      <c r="A250" s="2" t="inlineStr">
        <is>
          <t>W50</t>
        </is>
      </c>
      <c r="B250" s="2" t="inlineStr">
        <is>
          <t>Alnatura Online</t>
        </is>
      </c>
      <c r="C250" s="2" t="inlineStr">
        <is>
          <t>N</t>
        </is>
      </c>
      <c r="D250" s="2" t="inlineStr"/>
      <c r="E250" s="3" t="inlineStr">
        <is>
          <t>N</t>
        </is>
      </c>
      <c r="F250" s="3" t="n">
        <v>38.1</v>
      </c>
      <c r="G250" s="2" t="inlineStr"/>
      <c r="H250" s="3" t="inlineStr">
        <is>
          <t>N</t>
        </is>
      </c>
      <c r="I250" s="3" t="n">
        <v>21.3</v>
      </c>
      <c r="J250" s="3" t="n">
        <v>22.4</v>
      </c>
      <c r="K250" s="2" t="inlineStr">
        <is>
          <t>Format innovation detected; test similar approach next quarter</t>
        </is>
      </c>
    </row>
    <row r="251">
      <c r="A251" s="4" t="inlineStr">
        <is>
          <t>W50</t>
        </is>
      </c>
      <c r="B251" s="4" t="inlineStr">
        <is>
          <t>Bio Partner</t>
        </is>
      </c>
      <c r="C251" s="4" t="inlineStr">
        <is>
          <t>Y</t>
        </is>
      </c>
      <c r="D251" s="4" t="inlineStr">
        <is>
          <t>Corporate gifting bulk discount</t>
        </is>
      </c>
      <c r="E251" s="5" t="inlineStr">
        <is>
          <t>Y</t>
        </is>
      </c>
      <c r="F251" s="5" t="n">
        <v>44.3</v>
      </c>
      <c r="G251" s="4" t="inlineStr"/>
      <c r="H251" s="5" t="inlineStr">
        <is>
          <t>Y</t>
        </is>
      </c>
      <c r="I251" s="5" t="n">
        <v>20.3</v>
      </c>
      <c r="J251" s="5" t="n">
        <v>62.2</v>
      </c>
      <c r="K251" s="4" t="inlineStr">
        <is>
          <t>Budget concentration in specific channel; diversify spend</t>
        </is>
      </c>
    </row>
    <row r="252">
      <c r="A252" s="2" t="inlineStr">
        <is>
          <t>W51</t>
        </is>
      </c>
      <c r="B252" s="2" t="inlineStr">
        <is>
          <t>HelloFresh CH</t>
        </is>
      </c>
      <c r="C252" s="2" t="inlineStr">
        <is>
          <t>Y</t>
        </is>
      </c>
      <c r="D252" s="2" t="inlineStr">
        <is>
          <t>Corporate gifting bulk discount</t>
        </is>
      </c>
      <c r="E252" s="3" t="inlineStr">
        <is>
          <t>N</t>
        </is>
      </c>
      <c r="F252" s="3" t="n">
        <v>36.1</v>
      </c>
      <c r="G252" s="2" t="inlineStr"/>
      <c r="H252" s="3" t="inlineStr">
        <is>
          <t>N</t>
        </is>
      </c>
      <c r="I252" s="3" t="n">
        <v>43.4</v>
      </c>
      <c r="J252" s="3" t="n">
        <v>26.6</v>
      </c>
      <c r="K252" s="2" t="inlineStr">
        <is>
          <t>Market saturation in peak seasons; shift to off-peak targeting</t>
        </is>
      </c>
    </row>
    <row r="253">
      <c r="A253" s="4" t="inlineStr">
        <is>
          <t>W51</t>
        </is>
      </c>
      <c r="B253" s="4" t="inlineStr">
        <is>
          <t>Marley Spoon</t>
        </is>
      </c>
      <c r="C253" s="4" t="inlineStr">
        <is>
          <t>Y</t>
        </is>
      </c>
      <c r="D253" s="4" t="inlineStr">
        <is>
          <t>Bundle discount (2 boxes at 20% off)</t>
        </is>
      </c>
      <c r="E253" s="5" t="inlineStr">
        <is>
          <t>N</t>
        </is>
      </c>
      <c r="F253" s="5" t="n">
        <v>40.1</v>
      </c>
      <c r="G253" s="4" t="inlineStr"/>
      <c r="H253" s="5" t="inlineStr">
        <is>
          <t>N</t>
        </is>
      </c>
      <c r="I253" s="5" t="n">
        <v>81.09999999999999</v>
      </c>
      <c r="J253" s="5" t="n">
        <v>42.9</v>
      </c>
      <c r="K253" s="4" t="inlineStr">
        <is>
          <t>Audience overlap high; differentiate on brand values</t>
        </is>
      </c>
    </row>
    <row r="254">
      <c r="A254" s="2" t="inlineStr">
        <is>
          <t>W51</t>
        </is>
      </c>
      <c r="B254" s="2" t="inlineStr">
        <is>
          <t>Farmy</t>
        </is>
      </c>
      <c r="C254" s="2" t="inlineStr">
        <is>
          <t>Y</t>
        </is>
      </c>
      <c r="D254" s="2" t="inlineStr">
        <is>
          <t>Family meal combo pricing</t>
        </is>
      </c>
      <c r="E254" s="3" t="inlineStr">
        <is>
          <t>N</t>
        </is>
      </c>
      <c r="F254" s="3" t="n">
        <v>31.9</v>
      </c>
      <c r="G254" s="2" t="inlineStr"/>
      <c r="H254" s="3" t="inlineStr">
        <is>
          <t>N</t>
        </is>
      </c>
      <c r="I254" s="3" t="n">
        <v>69.3</v>
      </c>
      <c r="J254" s="3" t="n">
        <v>43.6</v>
      </c>
      <c r="K254" s="2" t="inlineStr">
        <is>
          <t>Competitor weakness in retention; reinforce loyalty messaging</t>
        </is>
      </c>
    </row>
    <row r="255">
      <c r="A255" s="4" t="inlineStr">
        <is>
          <t>W51</t>
        </is>
      </c>
      <c r="B255" s="4" t="inlineStr">
        <is>
          <t>Alnatura Online</t>
        </is>
      </c>
      <c r="C255" s="4" t="inlineStr">
        <is>
          <t>N</t>
        </is>
      </c>
      <c r="D255" s="4" t="inlineStr"/>
      <c r="E255" s="5" t="inlineStr">
        <is>
          <t>Y</t>
        </is>
      </c>
      <c r="F255" s="5" t="n">
        <v>33.7</v>
      </c>
      <c r="G255" s="4" t="inlineStr">
        <is>
          <t>Interactive Stories on Instagram</t>
        </is>
      </c>
      <c r="H255" s="5" t="inlineStr">
        <is>
          <t>N</t>
        </is>
      </c>
      <c r="I255" s="5" t="n">
        <v>40.8</v>
      </c>
      <c r="J255" s="5" t="n">
        <v>17.1</v>
      </c>
      <c r="K255" s="4" t="inlineStr">
        <is>
          <t>Competitor pricing pressure; consider bundle repositioning</t>
        </is>
      </c>
    </row>
    <row r="256">
      <c r="A256" s="2" t="inlineStr">
        <is>
          <t>W51</t>
        </is>
      </c>
      <c r="B256" s="2" t="inlineStr">
        <is>
          <t>Bio Partner</t>
        </is>
      </c>
      <c r="C256" s="2" t="inlineStr">
        <is>
          <t>N</t>
        </is>
      </c>
      <c r="D256" s="2" t="inlineStr"/>
      <c r="E256" s="3" t="inlineStr">
        <is>
          <t>N</t>
        </is>
      </c>
      <c r="F256" s="3" t="n">
        <v>36.1</v>
      </c>
      <c r="G256" s="2" t="inlineStr">
        <is>
          <t>Google Shopping with video</t>
        </is>
      </c>
      <c r="H256" s="3" t="inlineStr">
        <is>
          <t>N</t>
        </is>
      </c>
      <c r="I256" s="3" t="n">
        <v>36.8</v>
      </c>
      <c r="J256" s="3" t="n">
        <v>82.7</v>
      </c>
      <c r="K256" s="2" t="inlineStr">
        <is>
          <t>CPC inflation indicates increased budget allocation; optimize targeting</t>
        </is>
      </c>
    </row>
    <row r="257">
      <c r="A257" s="4" t="inlineStr">
        <is>
          <t>W52</t>
        </is>
      </c>
      <c r="B257" s="4" t="inlineStr">
        <is>
          <t>HelloFresh CH</t>
        </is>
      </c>
      <c r="C257" s="4" t="inlineStr">
        <is>
          <t>N</t>
        </is>
      </c>
      <c r="D257" s="4" t="inlineStr"/>
      <c r="E257" s="5" t="inlineStr">
        <is>
          <t>N</t>
        </is>
      </c>
      <c r="F257" s="5" t="n">
        <v>30.3</v>
      </c>
      <c r="G257" s="4" t="inlineStr"/>
      <c r="H257" s="5" t="inlineStr">
        <is>
          <t>N</t>
        </is>
      </c>
      <c r="I257" s="5" t="n">
        <v>40.3</v>
      </c>
      <c r="J257" s="5" t="n">
        <v>23.7</v>
      </c>
      <c r="K257" s="4" t="inlineStr">
        <is>
          <t>New audience segment activation; monitor LTV implications</t>
        </is>
      </c>
    </row>
    <row r="258">
      <c r="A258" s="2" t="inlineStr">
        <is>
          <t>W52</t>
        </is>
      </c>
      <c r="B258" s="2" t="inlineStr">
        <is>
          <t>Marley Spoon</t>
        </is>
      </c>
      <c r="C258" s="2" t="inlineStr">
        <is>
          <t>Y</t>
        </is>
      </c>
      <c r="D258" s="2" t="inlineStr">
        <is>
          <t>First box 50% off for new subscribers</t>
        </is>
      </c>
      <c r="E258" s="3" t="inlineStr">
        <is>
          <t>Y</t>
        </is>
      </c>
      <c r="F258" s="3" t="n">
        <v>7.3</v>
      </c>
      <c r="G258" s="2" t="inlineStr">
        <is>
          <t>Podcast sponsorship integration</t>
        </is>
      </c>
      <c r="H258" s="3" t="inlineStr">
        <is>
          <t>N</t>
        </is>
      </c>
      <c r="I258" s="3" t="n">
        <v>47.3</v>
      </c>
      <c r="J258" s="3" t="n">
        <v>48.1</v>
      </c>
      <c r="K258" s="2" t="inlineStr">
        <is>
          <t>CPC inflation indicates increased budget allocation; optimize targeting</t>
        </is>
      </c>
    </row>
    <row r="259">
      <c r="A259" s="4" t="inlineStr">
        <is>
          <t>W52</t>
        </is>
      </c>
      <c r="B259" s="4" t="inlineStr">
        <is>
          <t>Farmy</t>
        </is>
      </c>
      <c r="C259" s="4" t="inlineStr">
        <is>
          <t>N</t>
        </is>
      </c>
      <c r="D259" s="4" t="inlineStr"/>
      <c r="E259" s="5" t="inlineStr">
        <is>
          <t>N</t>
        </is>
      </c>
      <c r="F259" s="5" t="n">
        <v>15.9</v>
      </c>
      <c r="G259" s="4" t="inlineStr"/>
      <c r="H259" s="5" t="inlineStr">
        <is>
          <t>N</t>
        </is>
      </c>
      <c r="I259" s="5" t="n">
        <v>29.2</v>
      </c>
      <c r="J259" s="5" t="n">
        <v>60.5</v>
      </c>
      <c r="K259" s="4" t="inlineStr">
        <is>
          <t>CPC inflation indicates increased budget allocation; optimize targeting</t>
        </is>
      </c>
    </row>
    <row r="260">
      <c r="A260" s="2" t="inlineStr">
        <is>
          <t>W52</t>
        </is>
      </c>
      <c r="B260" s="2" t="inlineStr">
        <is>
          <t>Alnatura Online</t>
        </is>
      </c>
      <c r="C260" s="2" t="inlineStr">
        <is>
          <t>N</t>
        </is>
      </c>
      <c r="D260" s="2" t="inlineStr"/>
      <c r="E260" s="3" t="inlineStr">
        <is>
          <t>N</t>
        </is>
      </c>
      <c r="F260" s="3" t="n">
        <v>41</v>
      </c>
      <c r="G260" s="2" t="inlineStr"/>
      <c r="H260" s="3" t="inlineStr">
        <is>
          <t>N</t>
        </is>
      </c>
      <c r="I260" s="3" t="n">
        <v>85.59999999999999</v>
      </c>
      <c r="J260" s="3" t="n">
        <v>32.1</v>
      </c>
      <c r="K260" s="2" t="inlineStr">
        <is>
          <t>CPC inflation indicates increased budget allocation; optimize targeting</t>
        </is>
      </c>
    </row>
    <row r="261">
      <c r="A261" s="4" t="inlineStr">
        <is>
          <t>W52</t>
        </is>
      </c>
      <c r="B261" s="4" t="inlineStr">
        <is>
          <t>Bio Partner</t>
        </is>
      </c>
      <c r="C261" s="4" t="inlineStr">
        <is>
          <t>N</t>
        </is>
      </c>
      <c r="D261" s="4" t="inlineStr"/>
      <c r="E261" s="5" t="inlineStr">
        <is>
          <t>Y</t>
        </is>
      </c>
      <c r="F261" s="5" t="n">
        <v>17.5</v>
      </c>
      <c r="G261" s="4" t="inlineStr"/>
      <c r="H261" s="5" t="inlineStr">
        <is>
          <t>N</t>
        </is>
      </c>
      <c r="I261" s="5" t="n">
        <v>35.2</v>
      </c>
      <c r="J261" s="5" t="n">
        <v>31.9</v>
      </c>
      <c r="K261" s="4" t="inlineStr">
        <is>
          <t>Market saturation in peak seasons; shift to off-peak targeting</t>
        </is>
      </c>
    </row>
    <row r="262">
      <c r="B262" t="inlineStr">
        <is>
          <t>TOTAL</t>
        </is>
      </c>
      <c r="C262">
        <f>COUNTIF(C2:C261,"Y")</f>
        <v/>
      </c>
      <c r="D262">
        <f>COUNTA(D2:D261)</f>
        <v/>
      </c>
      <c r="E262">
        <f>COUNTIF(E2:E261,"Y")</f>
        <v/>
      </c>
      <c r="F262">
        <f>ROUND(AVERAGE(F2:F261),1)</f>
        <v/>
      </c>
      <c r="G262">
        <f>COUNTA(G2:G261)</f>
        <v/>
      </c>
      <c r="H262">
        <f>COUNTIF(H2:H261,"Y")</f>
        <v/>
      </c>
      <c r="I262">
        <f>ROUND(AVERAGE(I2:I261),1)</f>
        <v/>
      </c>
      <c r="J262">
        <f>ROUND(AVERAGE(J2:J261),1)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35" customWidth="1" min="19" max="19"/>
    <col width="35" customWidth="1" min="20" max="20"/>
    <col width="35" customWidth="1" min="21" max="21"/>
  </cols>
  <sheetData>
    <row r="1">
      <c r="A1" s="1" t="inlineStr">
        <is>
          <t>Month</t>
        </is>
      </c>
      <c r="B1" s="1" t="inlineStr">
        <is>
          <t>Total Spend (CHF)</t>
        </is>
      </c>
      <c r="C1" s="1" t="inlineStr">
        <is>
          <t>Total Revenue (CHF)</t>
        </is>
      </c>
      <c r="D1" s="1" t="inlineStr">
        <is>
          <t>Overall ROAS</t>
        </is>
      </c>
      <c r="E1" s="1" t="inlineStr">
        <is>
          <t>New Subscriptions</t>
        </is>
      </c>
      <c r="F1" s="1" t="inlineStr">
        <is>
          <t>Total Active Subscribers (EOM)</t>
        </is>
      </c>
      <c r="G1" s="1" t="inlineStr">
        <is>
          <t>Churned</t>
        </is>
      </c>
      <c r="H1" s="1" t="inlineStr">
        <is>
          <t>Net Subscriber Growth</t>
        </is>
      </c>
      <c r="I1" s="1" t="inlineStr">
        <is>
          <t>CAC (CHF)</t>
        </is>
      </c>
      <c r="J1" s="1" t="inlineStr">
        <is>
          <t>Blended LTV:CAC</t>
        </is>
      </c>
      <c r="K1" s="1" t="inlineStr">
        <is>
          <t>Top Channel ROAS</t>
        </is>
      </c>
      <c r="L1" s="1" t="inlineStr">
        <is>
          <t>Bottom Channel ROAS</t>
        </is>
      </c>
      <c r="M1" s="1" t="inlineStr">
        <is>
          <t>Top Creative Theme</t>
        </is>
      </c>
      <c r="N1" s="1" t="inlineStr">
        <is>
          <t>New Tests Launched</t>
        </is>
      </c>
      <c r="O1" s="1" t="inlineStr">
        <is>
          <t>Budget Utilization (%)</t>
        </is>
      </c>
      <c r="P1" s="1" t="inlineStr">
        <is>
          <t>Organic Sessions</t>
        </is>
      </c>
      <c r="Q1" s="1" t="inlineStr">
        <is>
          <t>Brand Search Volume Index</t>
        </is>
      </c>
      <c r="R1" s="1" t="inlineStr">
        <is>
          <t>NPS Score</t>
        </is>
      </c>
      <c r="S1" s="1" t="inlineStr">
        <is>
          <t>Key Achievement</t>
        </is>
      </c>
      <c r="T1" s="1" t="inlineStr">
        <is>
          <t>Key Challenge</t>
        </is>
      </c>
      <c r="U1" s="1" t="inlineStr">
        <is>
          <t>Next Month Priority</t>
        </is>
      </c>
    </row>
    <row r="2">
      <c r="A2" s="2" t="inlineStr">
        <is>
          <t>January</t>
        </is>
      </c>
      <c r="B2" s="3">
        <f>47410.00</f>
        <v/>
      </c>
      <c r="C2" s="3">
        <f>184172.20</f>
        <v/>
      </c>
      <c r="D2" s="3">
        <f>ROUND(3.884669851669053,2)</f>
        <v/>
      </c>
      <c r="E2" s="3" t="n">
        <v>2180</v>
      </c>
      <c r="F2" s="3" t="n">
        <v>2180</v>
      </c>
      <c r="G2" s="3" t="n">
        <v>183</v>
      </c>
      <c r="H2" s="3" t="n">
        <v>1997</v>
      </c>
      <c r="I2" s="3">
        <f>ROUND(21.74770626501416,2)</f>
        <v/>
      </c>
      <c r="J2" s="3">
        <f>ROUND(6.343960780292917,2)</f>
        <v/>
      </c>
      <c r="K2" s="3">
        <f>ROUND(5.214741908334943,2)</f>
        <v/>
      </c>
      <c r="L2" s="3">
        <f>ROUND(2.611412388577177,2)</f>
        <v/>
      </c>
      <c r="M2" s="3" t="inlineStr">
        <is>
          <t>Educational</t>
        </is>
      </c>
      <c r="N2" s="2" t="n">
        <v>4</v>
      </c>
      <c r="O2" s="3" t="n">
        <v>97.8</v>
      </c>
      <c r="P2" s="3" t="n">
        <v>576</v>
      </c>
      <c r="Q2" s="3" t="n">
        <v>101</v>
      </c>
      <c r="R2" s="3" t="n">
        <v>66</v>
      </c>
      <c r="S2" s="2" t="inlineStr">
        <is>
          <t>Competitor pricing pressure managed; maintained margin</t>
        </is>
      </c>
      <c r="T2" s="2" t="inlineStr">
        <is>
          <t>Lapsed subscriber reactivation campaign below target</t>
        </is>
      </c>
      <c r="U2" s="2" t="inlineStr">
        <is>
          <t>Plan Q1 strategy session with creative team for seasonal refresh</t>
        </is>
      </c>
    </row>
    <row r="3">
      <c r="A3" s="4" t="inlineStr">
        <is>
          <t>February</t>
        </is>
      </c>
      <c r="B3" s="5">
        <f>44241.17</f>
        <v/>
      </c>
      <c r="C3" s="5">
        <f>175762.73</f>
        <v/>
      </c>
      <c r="D3" s="5">
        <f>ROUND(3.972831894929133,2)</f>
        <v/>
      </c>
      <c r="E3" s="5" t="n">
        <v>2013</v>
      </c>
      <c r="F3" s="5" t="n">
        <v>4010</v>
      </c>
      <c r="G3" s="5" t="n">
        <v>580</v>
      </c>
      <c r="H3" s="5" t="n">
        <v>1433</v>
      </c>
      <c r="I3" s="5">
        <f>ROUND(21.977729830288194,2)</f>
        <v/>
      </c>
      <c r="J3" s="5">
        <f>ROUND(6.993508587408554,2)</f>
        <v/>
      </c>
      <c r="K3" s="5">
        <f>ROUND(4.941202149898612,2)</f>
        <v/>
      </c>
      <c r="L3" s="5">
        <f>ROUND(3.327978807774233,2)</f>
        <v/>
      </c>
      <c r="M3" s="5" t="inlineStr">
        <is>
          <t>Educational</t>
        </is>
      </c>
      <c r="N3" s="4" t="n">
        <v>2</v>
      </c>
      <c r="O3" s="5" t="n">
        <v>97.7</v>
      </c>
      <c r="P3" s="5" t="n">
        <v>912</v>
      </c>
      <c r="Q3" s="5" t="n">
        <v>105</v>
      </c>
      <c r="R3" s="5" t="n">
        <v>74</v>
      </c>
      <c r="S3" s="4" t="inlineStr">
        <is>
          <t>Competitor pricing pressure managed; maintained margin</t>
        </is>
      </c>
      <c r="T3" s="4" t="inlineStr">
        <is>
          <t>Post-holiday churn higher than Q3 baseline</t>
        </is>
      </c>
      <c r="U3" s="4" t="inlineStr">
        <is>
          <t>Plan Q1 strategy session with creative team for seasonal refresh</t>
        </is>
      </c>
    </row>
    <row r="4">
      <c r="A4" s="2" t="inlineStr">
        <is>
          <t>March</t>
        </is>
      </c>
      <c r="B4" s="3">
        <f>46270.69</f>
        <v/>
      </c>
      <c r="C4" s="3">
        <f>188758.32</f>
        <v/>
      </c>
      <c r="D4" s="3">
        <f>ROUND(4.079435944548738,2)</f>
        <v/>
      </c>
      <c r="E4" s="3" t="n">
        <v>2027</v>
      </c>
      <c r="F4" s="3" t="n">
        <v>5457</v>
      </c>
      <c r="G4" s="3" t="n">
        <v>799</v>
      </c>
      <c r="H4" s="3" t="n">
        <v>1228</v>
      </c>
      <c r="I4" s="3">
        <f>ROUND(22.827178613167202,2)</f>
        <v/>
      </c>
      <c r="J4" s="3">
        <f>ROUND(7.6592152823312905,2)</f>
        <v/>
      </c>
      <c r="K4" s="3">
        <f>ROUND(5.121105078929684,2)</f>
        <v/>
      </c>
      <c r="L4" s="3">
        <f>ROUND(3.1973062341671246,2)</f>
        <v/>
      </c>
      <c r="M4" s="3" t="inlineStr">
        <is>
          <t>Product Demo</t>
        </is>
      </c>
      <c r="N4" s="2" t="n">
        <v>5</v>
      </c>
      <c r="O4" s="3" t="n">
        <v>93.5</v>
      </c>
      <c r="P4" s="3" t="n">
        <v>1580</v>
      </c>
      <c r="Q4" s="3" t="n">
        <v>108</v>
      </c>
      <c r="R4" s="3" t="n">
        <v>65</v>
      </c>
      <c r="S4" s="2" t="inlineStr">
        <is>
          <t>Video content performance exceeded benchmarks at 5.2x ROAS</t>
        </is>
      </c>
      <c r="T4" s="2" t="inlineStr">
        <is>
          <t>Competitive pricing pressure on family bundles</t>
        </is>
      </c>
      <c r="U4" s="2" t="inlineStr">
        <is>
          <t>Test new creative format (short-form video); allocate CHF 8K budget</t>
        </is>
      </c>
    </row>
    <row r="5">
      <c r="A5" s="4" t="inlineStr">
        <is>
          <t>April</t>
        </is>
      </c>
      <c r="B5" s="5">
        <f>44907.55</f>
        <v/>
      </c>
      <c r="C5" s="5">
        <f>165959.04</f>
        <v/>
      </c>
      <c r="D5" s="5">
        <f>ROUND(3.6955710203535808,2)</f>
        <v/>
      </c>
      <c r="E5" s="5" t="n">
        <v>1951</v>
      </c>
      <c r="F5" s="5" t="n">
        <v>6609</v>
      </c>
      <c r="G5" s="5" t="n">
        <v>788</v>
      </c>
      <c r="H5" s="5" t="n">
        <v>1163</v>
      </c>
      <c r="I5" s="5">
        <f>ROUND(23.017708285565043,2)</f>
        <v/>
      </c>
      <c r="J5" s="5">
        <f>ROUND(7.8549187680166455,2)</f>
        <v/>
      </c>
      <c r="K5" s="5">
        <f>ROUND(4.965120494305715,2)</f>
        <v/>
      </c>
      <c r="L5" s="5">
        <f>ROUND(2.6205925803340504,2)</f>
        <v/>
      </c>
      <c r="M5" s="5" t="inlineStr">
        <is>
          <t>Lifestyle</t>
        </is>
      </c>
      <c r="N5" s="4" t="n">
        <v>3</v>
      </c>
      <c r="O5" s="5" t="n">
        <v>93.3</v>
      </c>
      <c r="P5" s="5" t="n">
        <v>1673</v>
      </c>
      <c r="Q5" s="5" t="n">
        <v>104</v>
      </c>
      <c r="R5" s="5" t="n">
        <v>62</v>
      </c>
      <c r="S5" s="4" t="inlineStr">
        <is>
          <t>New product SKU successfully launched with 3.8x ROAS</t>
        </is>
      </c>
      <c r="T5" s="4" t="inlineStr">
        <is>
          <t>Email fatigue evident in engagement metrics</t>
        </is>
      </c>
      <c r="U5" s="4" t="inlineStr">
        <is>
          <t>Develop regional targeting strategy for suburban expansion</t>
        </is>
      </c>
    </row>
    <row r="6">
      <c r="A6" s="2" t="inlineStr">
        <is>
          <t>May</t>
        </is>
      </c>
      <c r="B6" s="3">
        <f>45211.29</f>
        <v/>
      </c>
      <c r="C6" s="3">
        <f>190715.06</f>
        <v/>
      </c>
      <c r="D6" s="3">
        <f>ROUND(4.218305932029734,2)</f>
        <v/>
      </c>
      <c r="E6" s="3" t="n">
        <v>1929</v>
      </c>
      <c r="F6" s="3" t="n">
        <v>7750</v>
      </c>
      <c r="G6" s="3" t="n">
        <v>1158</v>
      </c>
      <c r="H6" s="3" t="n">
        <v>771</v>
      </c>
      <c r="I6" s="3">
        <f>ROUND(23.437683804088635,2)</f>
        <v/>
      </c>
      <c r="J6" s="3">
        <f>ROUND(6.207450441252857,2)</f>
        <v/>
      </c>
      <c r="K6" s="3">
        <f>ROUND(5.5171917149546434,2)</f>
        <v/>
      </c>
      <c r="L6" s="3">
        <f>ROUND(3.1672363630930467,2)</f>
        <v/>
      </c>
      <c r="M6" s="3" t="inlineStr">
        <is>
          <t>Product Demo</t>
        </is>
      </c>
      <c r="N6" s="2" t="n">
        <v>3</v>
      </c>
      <c r="O6" s="3" t="n">
        <v>97.8</v>
      </c>
      <c r="P6" s="3" t="n">
        <v>1740</v>
      </c>
      <c r="Q6" s="3" t="n">
        <v>116</v>
      </c>
      <c r="R6" s="3" t="n">
        <v>75</v>
      </c>
      <c r="S6" s="2" t="inlineStr">
        <is>
          <t>New TikTok audience cohort acquired at CAC 18 (below target)</t>
        </is>
      </c>
      <c r="T6" s="2" t="inlineStr">
        <is>
          <t>Black Friday promotional pressure market-wide</t>
        </is>
      </c>
      <c r="U6" s="2" t="inlineStr">
        <is>
          <t>Refine CAC model by audience segment; improve forecasting</t>
        </is>
      </c>
    </row>
    <row r="7">
      <c r="A7" s="4" t="inlineStr">
        <is>
          <t>June</t>
        </is>
      </c>
      <c r="B7" s="5">
        <f>44805.15</f>
        <v/>
      </c>
      <c r="C7" s="5">
        <f>179323.67</f>
        <v/>
      </c>
      <c r="D7" s="5">
        <f>ROUND(4.002300250248731,2)</f>
        <v/>
      </c>
      <c r="E7" s="5" t="n">
        <v>2232</v>
      </c>
      <c r="F7" s="5" t="n">
        <v>8824</v>
      </c>
      <c r="G7" s="5" t="n">
        <v>1094</v>
      </c>
      <c r="H7" s="5" t="n">
        <v>1138</v>
      </c>
      <c r="I7" s="5">
        <f>ROUND(20.073993080580326,2)</f>
        <v/>
      </c>
      <c r="J7" s="5">
        <f>ROUND(7.236519691166302,2)</f>
        <v/>
      </c>
      <c r="K7" s="5">
        <f>ROUND(5.089747811733781,2)</f>
        <v/>
      </c>
      <c r="L7" s="5">
        <f>ROUND(2.6918343742147757,2)</f>
        <v/>
      </c>
      <c r="M7" s="5" t="inlineStr">
        <is>
          <t>Seasonal</t>
        </is>
      </c>
      <c r="N7" s="4" t="n">
        <v>3</v>
      </c>
      <c r="O7" s="5" t="n">
        <v>96.3</v>
      </c>
      <c r="P7" s="5" t="n">
        <v>1862</v>
      </c>
      <c r="Q7" s="5" t="n">
        <v>112</v>
      </c>
      <c r="R7" s="5" t="n">
        <v>62</v>
      </c>
      <c r="S7" s="4" t="inlineStr">
        <is>
          <t>New TikTok audience cohort acquired at CAC 18 (below target)</t>
        </is>
      </c>
      <c r="T7" s="4" t="inlineStr">
        <is>
          <t>Lapsed subscriber reactivation campaign below target</t>
        </is>
      </c>
      <c r="U7" s="4" t="inlineStr">
        <is>
          <t>Test new creative format (short-form video); allocate CHF 8K budget</t>
        </is>
      </c>
    </row>
    <row r="8">
      <c r="A8" s="2" t="inlineStr">
        <is>
          <t>July</t>
        </is>
      </c>
      <c r="B8" s="3">
        <f>46209.69</f>
        <v/>
      </c>
      <c r="C8" s="3">
        <f>204783.52</f>
        <v/>
      </c>
      <c r="D8" s="3">
        <f>ROUND(4.431614016394841,2)</f>
        <v/>
      </c>
      <c r="E8" s="3" t="n">
        <v>2276</v>
      </c>
      <c r="F8" s="3" t="n">
        <v>10006</v>
      </c>
      <c r="G8" s="3" t="n">
        <v>1193</v>
      </c>
      <c r="H8" s="3" t="n">
        <v>1083</v>
      </c>
      <c r="I8" s="3">
        <f>ROUND(20.303027994962747,2)</f>
        <v/>
      </c>
      <c r="J8" s="3">
        <f>ROUND(7.185536431247834,2)</f>
        <v/>
      </c>
      <c r="K8" s="3">
        <f>ROUND(5.716346371123195,2)</f>
        <v/>
      </c>
      <c r="L8" s="3">
        <f>ROUND(3.597644979409243,2)</f>
        <v/>
      </c>
      <c r="M8" s="3" t="inlineStr">
        <is>
          <t>Educational</t>
        </is>
      </c>
      <c r="N8" s="2" t="n">
        <v>3</v>
      </c>
      <c r="O8" s="3" t="n">
        <v>96.09999999999999</v>
      </c>
      <c r="P8" s="3" t="n">
        <v>2039</v>
      </c>
      <c r="Q8" s="3" t="n">
        <v>123</v>
      </c>
      <c r="R8" s="3" t="n">
        <v>73</v>
      </c>
      <c r="S8" s="2" t="inlineStr">
        <is>
          <t>New product SKU successfully launched with 3.8x ROAS</t>
        </is>
      </c>
      <c r="T8" s="2" t="inlineStr">
        <is>
          <t>Lapsed subscriber reactivation campaign below target</t>
        </is>
      </c>
      <c r="U8" s="2" t="inlineStr">
        <is>
          <t>Expand high-performing audience lookalikes; target 20% budget lift</t>
        </is>
      </c>
    </row>
    <row r="9">
      <c r="A9" s="4" t="inlineStr">
        <is>
          <t>August</t>
        </is>
      </c>
      <c r="B9" s="5">
        <f>42146.42</f>
        <v/>
      </c>
      <c r="C9" s="5">
        <f>189073.08</f>
        <v/>
      </c>
      <c r="D9" s="5">
        <f>ROUND(4.486100894861348,2)</f>
        <v/>
      </c>
      <c r="E9" s="5" t="n">
        <v>2153</v>
      </c>
      <c r="F9" s="5" t="n">
        <v>10966</v>
      </c>
      <c r="G9" s="5" t="n">
        <v>1233</v>
      </c>
      <c r="H9" s="5" t="n">
        <v>920</v>
      </c>
      <c r="I9" s="5">
        <f>ROUND(19.575670098505842,2)</f>
        <v/>
      </c>
      <c r="J9" s="5">
        <f>ROUND(8.044931171453296,2)</f>
        <v/>
      </c>
      <c r="K9" s="5">
        <f>ROUND(5.239112595552093,2)</f>
        <v/>
      </c>
      <c r="L9" s="5">
        <f>ROUND(3.5649426618576032,2)</f>
        <v/>
      </c>
      <c r="M9" s="5" t="inlineStr">
        <is>
          <t>UGC</t>
        </is>
      </c>
      <c r="N9" s="4" t="n">
        <v>4</v>
      </c>
      <c r="O9" s="5" t="n">
        <v>98.8</v>
      </c>
      <c r="P9" s="5" t="n">
        <v>2299</v>
      </c>
      <c r="Q9" s="5" t="n">
        <v>119</v>
      </c>
      <c r="R9" s="5" t="n">
        <v>69</v>
      </c>
      <c r="S9" s="4" t="inlineStr">
        <is>
          <t>Customer LTV:CAC ratio reached 7.2x (best 12-month result)</t>
        </is>
      </c>
      <c r="T9" s="4" t="inlineStr">
        <is>
          <t>Post-holiday churn higher than Q3 baseline</t>
        </is>
      </c>
      <c r="U9" s="4" t="inlineStr">
        <is>
          <t>Plan Q1 strategy session with creative team for seasonal refresh</t>
        </is>
      </c>
    </row>
    <row r="10">
      <c r="A10" s="2" t="inlineStr">
        <is>
          <t>September</t>
        </is>
      </c>
      <c r="B10" s="3">
        <f>42557.84</f>
        <v/>
      </c>
      <c r="C10" s="3">
        <f>202240.60</f>
        <v/>
      </c>
      <c r="D10" s="3">
        <f>ROUND(4.7521350867933965,2)</f>
        <v/>
      </c>
      <c r="E10" s="3" t="n">
        <v>2428</v>
      </c>
      <c r="F10" s="3" t="n">
        <v>12161</v>
      </c>
      <c r="G10" s="3" t="n">
        <v>1354</v>
      </c>
      <c r="H10" s="3" t="n">
        <v>1074</v>
      </c>
      <c r="I10" s="3">
        <f>ROUND(17.527940218845846,2)</f>
        <v/>
      </c>
      <c r="J10" s="3">
        <f>ROUND(6.100895668540847,2)</f>
        <v/>
      </c>
      <c r="K10" s="3">
        <f>ROUND(5.728797491852877,2)</f>
        <v/>
      </c>
      <c r="L10" s="3">
        <f>ROUND(3.3049564805495044,2)</f>
        <v/>
      </c>
      <c r="M10" s="3" t="inlineStr">
        <is>
          <t>Educational</t>
        </is>
      </c>
      <c r="N10" s="2" t="n">
        <v>3</v>
      </c>
      <c r="O10" s="3" t="n">
        <v>96</v>
      </c>
      <c r="P10" s="3" t="n">
        <v>3414</v>
      </c>
      <c r="Q10" s="3" t="n">
        <v>124</v>
      </c>
      <c r="R10" s="3" t="n">
        <v>65</v>
      </c>
      <c r="S10" s="2" t="inlineStr">
        <is>
          <t>ROAS target exceeded at 4.2x; strong Q1 performance</t>
        </is>
      </c>
      <c r="T10" s="2" t="inlineStr">
        <is>
          <t>Lapsed subscriber reactivation campaign below target</t>
        </is>
      </c>
      <c r="U10" s="2" t="inlineStr">
        <is>
          <t>Evaluate new platform (Pinterest) for lifestyle targeting</t>
        </is>
      </c>
    </row>
    <row r="11">
      <c r="A11" s="4" t="inlineStr">
        <is>
          <t>October</t>
        </is>
      </c>
      <c r="B11" s="5">
        <f>43809.40</f>
        <v/>
      </c>
      <c r="C11" s="5">
        <f>195470.78</f>
        <v/>
      </c>
      <c r="D11" s="5">
        <f>ROUND(4.461845295169306,2)</f>
        <v/>
      </c>
      <c r="E11" s="5" t="n">
        <v>2321</v>
      </c>
      <c r="F11" s="5" t="n">
        <v>13128</v>
      </c>
      <c r="G11" s="5" t="n">
        <v>1350</v>
      </c>
      <c r="H11" s="5" t="n">
        <v>971</v>
      </c>
      <c r="I11" s="5">
        <f>ROUND(18.875227844499253,2)</f>
        <v/>
      </c>
      <c r="J11" s="5">
        <f>ROUND(6.51095486499805,2)</f>
        <v/>
      </c>
      <c r="K11" s="5">
        <f>ROUND(5.8309925374784815,2)</f>
        <v/>
      </c>
      <c r="L11" s="5">
        <f>ROUND(3.193521044824403,2)</f>
        <v/>
      </c>
      <c r="M11" s="5" t="inlineStr">
        <is>
          <t>Educational</t>
        </is>
      </c>
      <c r="N11" s="4" t="n">
        <v>5</v>
      </c>
      <c r="O11" s="5" t="n">
        <v>94.40000000000001</v>
      </c>
      <c r="P11" s="5" t="n">
        <v>4382</v>
      </c>
      <c r="Q11" s="5" t="n">
        <v>128</v>
      </c>
      <c r="R11" s="5" t="n">
        <v>69</v>
      </c>
      <c r="S11" s="4" t="inlineStr">
        <is>
          <t>Brand search volume increased 35% YoY organic growth</t>
        </is>
      </c>
      <c r="T11" s="4" t="inlineStr">
        <is>
          <t>Competitive pricing pressure on family bundles</t>
        </is>
      </c>
      <c r="U11" s="4" t="inlineStr">
        <is>
          <t>Accelerate lapsed subscriber win-back campaign with new angles</t>
        </is>
      </c>
    </row>
    <row r="12">
      <c r="A12" s="2" t="inlineStr">
        <is>
          <t>November</t>
        </is>
      </c>
      <c r="B12" s="3">
        <f>45325.15</f>
        <v/>
      </c>
      <c r="C12" s="3">
        <f>190890.89</f>
        <v/>
      </c>
      <c r="D12" s="3">
        <f>ROUND(4.211588641400863,2)</f>
        <v/>
      </c>
      <c r="E12" s="3" t="n">
        <v>2495</v>
      </c>
      <c r="F12" s="3" t="n">
        <v>14273</v>
      </c>
      <c r="G12" s="3" t="n">
        <v>1356</v>
      </c>
      <c r="H12" s="3" t="n">
        <v>1139</v>
      </c>
      <c r="I12" s="3">
        <f>ROUND(18.166392956462154,2)</f>
        <v/>
      </c>
      <c r="J12" s="3">
        <f>ROUND(5.608392304104664,2)</f>
        <v/>
      </c>
      <c r="K12" s="3">
        <f>ROUND(5.060632921209998,2)</f>
        <v/>
      </c>
      <c r="L12" s="3">
        <f>ROUND(2.8499363853707305,2)</f>
        <v/>
      </c>
      <c r="M12" s="3" t="inlineStr">
        <is>
          <t>Seasonal</t>
        </is>
      </c>
      <c r="N12" s="2" t="n">
        <v>5</v>
      </c>
      <c r="O12" s="3" t="n">
        <v>92.59999999999999</v>
      </c>
      <c r="P12" s="3" t="n">
        <v>2731</v>
      </c>
      <c r="Q12" s="3" t="n">
        <v>127</v>
      </c>
      <c r="R12" s="3" t="n">
        <v>75</v>
      </c>
      <c r="S12" s="2" t="inlineStr">
        <is>
          <t>Year-end budget optimization achieved 4.6x ROAS</t>
        </is>
      </c>
      <c r="T12" s="2" t="inlineStr">
        <is>
          <t>Q1 CPC inflation across Google Search channels</t>
        </is>
      </c>
      <c r="U12" s="2" t="inlineStr">
        <is>
          <t>Test new creative format (short-form video); allocate CHF 8K budget</t>
        </is>
      </c>
    </row>
    <row r="13">
      <c r="A13" s="4" t="inlineStr">
        <is>
          <t>December</t>
        </is>
      </c>
      <c r="B13" s="5">
        <f>42791.08</f>
        <v/>
      </c>
      <c r="C13" s="5">
        <f>193388.80</f>
        <v/>
      </c>
      <c r="D13" s="5">
        <f>ROUND(4.519371763810416,2)</f>
        <v/>
      </c>
      <c r="E13" s="5" t="n">
        <v>2443</v>
      </c>
      <c r="F13" s="5" t="n">
        <v>15360</v>
      </c>
      <c r="G13" s="5" t="n">
        <v>1729</v>
      </c>
      <c r="H13" s="5" t="n">
        <v>714</v>
      </c>
      <c r="I13" s="5">
        <f>ROUND(17.51579208467764,2)</f>
        <v/>
      </c>
      <c r="J13" s="5">
        <f>ROUND(6.841712877624881,2)</f>
        <v/>
      </c>
      <c r="K13" s="5">
        <f>ROUND(5.7810073366466685,2)</f>
        <v/>
      </c>
      <c r="L13" s="5">
        <f>ROUND(3.2576996063691595,2)</f>
        <v/>
      </c>
      <c r="M13" s="5" t="inlineStr">
        <is>
          <t>Product Demo</t>
        </is>
      </c>
      <c r="N13" s="4" t="n">
        <v>5</v>
      </c>
      <c r="O13" s="5" t="n">
        <v>98.40000000000001</v>
      </c>
      <c r="P13" s="5" t="n">
        <v>4280</v>
      </c>
      <c r="Q13" s="5" t="n">
        <v>138</v>
      </c>
      <c r="R13" s="5" t="n">
        <v>66</v>
      </c>
      <c r="S13" s="4" t="inlineStr">
        <is>
          <t>Subscription retention improved 5% MoM through email optimization</t>
        </is>
      </c>
      <c r="T13" s="4" t="inlineStr">
        <is>
          <t>Black Friday promotional pressure market-wide</t>
        </is>
      </c>
      <c r="U13" s="4" t="inlineStr">
        <is>
          <t>Strengthen gift purchaser targeting ahead of major holidays</t>
        </is>
      </c>
    </row>
    <row r="14">
      <c r="A14" t="inlineStr">
        <is>
          <t>TOTAL/AVG</t>
        </is>
      </c>
      <c r="B14">
        <f>SUM(B2:B13)</f>
        <v/>
      </c>
      <c r="C14">
        <f>SUM(C2:C13)</f>
        <v/>
      </c>
      <c r="D14">
        <f>ROUND(AVERAGE(D2:D13),2)</f>
        <v/>
      </c>
      <c r="E14">
        <f>SUM(E2:E13)</f>
        <v/>
      </c>
      <c r="F14">
        <f>MAX(F2:F13)</f>
        <v/>
      </c>
      <c r="G14">
        <f>SUM(G2:G13)</f>
        <v/>
      </c>
      <c r="H14">
        <f>SUM(H2:H13)</f>
        <v/>
      </c>
      <c r="I14">
        <f>ROUND(AVERAGE(I2:I13),2)</f>
        <v/>
      </c>
      <c r="J14">
        <f>ROUND(AVERAGE(J2:J13),2)</f>
        <v/>
      </c>
      <c r="K14">
        <f>ROUND(AVERAGE(K2:K13),2)</f>
        <v/>
      </c>
      <c r="L14">
        <f>ROUND(AVERAGE(L2:L13),2)</f>
        <v/>
      </c>
      <c r="N14">
        <f>SUM(N2:N13)</f>
        <v/>
      </c>
      <c r="O14">
        <f>ROUND(AVERAGE(O2:O13),1)</f>
        <v/>
      </c>
      <c r="P14">
        <f>SUM(P2:P13)</f>
        <v/>
      </c>
      <c r="Q14">
        <f>ROUND(AVERAGE(Q2:Q13),0)</f>
        <v/>
      </c>
      <c r="R14">
        <f>ROUND(AVERAGE(R2:R13),0)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2026-04-13T11:41:36Z</dcterms:created>
  <dcterms:modified xmlns:dcterms="http://purl.org/dc/terms/" xmlns:xsi="http://www.w3.org/2001/XMLSchema-instance" xsi:type="dcterms:W3CDTF">2026-04-13T11:41:42Z</dcterms:modified>
</cp:coreProperties>
</file>