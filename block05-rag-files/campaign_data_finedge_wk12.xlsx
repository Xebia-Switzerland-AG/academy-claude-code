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Data" sheetId="1" state="visible" r:id="rId3"/>
    <sheet name="Weekly Summary" sheetId="2" state="visible" r:id="rId4"/>
    <sheet name="Budget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<sst xmlns="http://schemas.openxmlformats.org/spreadsheetml/2006/main" count="142" uniqueCount="36">
  <si>
    <t xml:space="preserve">Date</t>
  </si>
  <si>
    <t xml:space="preserve">Campaign</t>
  </si>
  <si>
    <t xml:space="preserve">Platform</t>
  </si>
  <si>
    <t xml:space="preserve">Spend</t>
  </si>
  <si>
    <t xml:space="preserve">Impressions</t>
  </si>
  <si>
    <t xml:space="preserve">Clicks</t>
  </si>
  <si>
    <t xml:space="preserve">Conversions</t>
  </si>
  <si>
    <t xml:space="preserve">Revenue</t>
  </si>
  <si>
    <t xml:space="preserve">Video Views</t>
  </si>
  <si>
    <t xml:space="preserve">Leads</t>
  </si>
  <si>
    <t xml:space="preserve">2026-03-16</t>
  </si>
  <si>
    <t xml:space="preserve">Brand Awareness - LinkedIn</t>
  </si>
  <si>
    <t xml:space="preserve">LinkedIn</t>
  </si>
  <si>
    <t xml:space="preserve">Lead Gen - Search</t>
  </si>
  <si>
    <t xml:space="preserve">Google Ads</t>
  </si>
  <si>
    <t xml:space="preserve">Retargeting - Display</t>
  </si>
  <si>
    <t xml:space="preserve">Webinar Promo - Social</t>
  </si>
  <si>
    <t xml:space="preserve">Meta</t>
  </si>
  <si>
    <t xml:space="preserve">Competitor - Search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</si>
  <si>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</si>
  <si>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</si>
  <si>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</si>
  <si>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</si>
  <si>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</si>
  <si>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</si>
  <si>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Total Spend</t>
  </si>
  <si>
    <t xml:space="preserve">ROAS</t>
  </si>
  <si>
    <t xml:space="preserve">CPA</t>
  </si>
  <si>
    <t xml:space="preserve">CTR</t>
  </si>
  <si>
    <t xml:space="preserve">CVR</t>
  </si>
  <si>
    <t xml:space="preserve">Total / Avg</t>
  </si>
  <si>
    <t xml:space="preserve">Monthly Budget</t>
  </si>
  <si>
    <t xml:space="preserve">Wk 12 Spend</t>
  </si>
  <si>
    <t xml:space="preserve">% Used</t>
  </si>
  <si>
    <t xml:space="preserve">Remaining</t>
  </si>
  <si>
    <t xml:space="preserve">On Track?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</si>
</sst>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\x"/>
    <numFmt numFmtId="167" formatCode="\€#,##0.00"/>
    <numFmt numFmtId="168" formatCode="0.00%"/>
    <numFmt numFmtId="169" formatCode="\€#,##0"/>
    <numFmt numFmtId="170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62156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21563"/>
        <bgColor rgb="FF800080"/>
      </patternFill>
    </fill>
    <fill>
      <patternFill patternType="solid">
        <fgColor rgb="FFF5F5F5"/>
        <bgColor rgb="FFFFFFFF"/>
      </patternFill>
    </fill>
    <fill>
      <patternFill patternType="solid">
        <fgColor rgb="FFD49ED4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D"/>
      </left>
      <right style="thin">
        <color rgb="FFC8C8CD"/>
      </right>
      <top style="thin">
        <color rgb="FFC8C8CD"/>
      </top>
      <bottom style="thin">
        <color rgb="FFC8C8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D"/>
      <rgbColor rgb="FF808080"/>
      <rgbColor rgb="FF9999FF"/>
      <rgbColor rgb="FF993366"/>
      <rgbColor rgb="FFF5F5F5"/>
      <rgbColor rgb="FFCCFFFF"/>
      <rgbColor rgb="FF62156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D49ED4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3" t="n">
        <v>1394</v>
      </c>
      <c r="E2" s="3" t="n">
        <v>76840</v>
      </c>
      <c r="F2" s="3" t="n">
        <v>700</v>
      </c>
      <c r="G2" s="3" t="n">
        <v>20</v>
      </c>
      <c r="H2" s="3" t="n">
        <v>7712</v>
      </c>
      <c r="I2" s="3" t="n">
        <v>4526</v>
      </c>
      <c r="J2" s="3" t="n">
        <v>14</v>
      </c>
    </row>
    <row r="3" customFormat="false" ht="15" hidden="false" customHeight="false" outlineLevel="0" collapsed="false">
      <c r="A3" s="4" t="s">
        <v>10</v>
      </c>
      <c r="B3" s="4" t="s">
        <v>13</v>
      </c>
      <c r="C3" s="4" t="s">
        <v>14</v>
      </c>
      <c r="D3" s="5" t="n">
        <v>1729</v>
      </c>
      <c r="E3" s="5" t="n">
        <v>44143</v>
      </c>
      <c r="F3" s="5" t="n">
        <v>1813</v>
      </c>
      <c r="G3" s="5" t="n">
        <v>60</v>
      </c>
      <c r="H3" s="5" t="n">
        <v>20619</v>
      </c>
      <c r="I3" s="5" t="n">
        <v>0</v>
      </c>
      <c r="J3" s="5" t="n">
        <v>39</v>
      </c>
    </row>
    <row r="4" customFormat="false" ht="15" hidden="false" customHeight="false" outlineLevel="0" collapsed="false">
      <c r="A4" s="2" t="s">
        <v>10</v>
      </c>
      <c r="B4" s="2" t="s">
        <v>15</v>
      </c>
      <c r="C4" s="2" t="s">
        <v>14</v>
      </c>
      <c r="D4" s="3" t="n">
        <v>654</v>
      </c>
      <c r="E4" s="3" t="n">
        <v>42248</v>
      </c>
      <c r="F4" s="3" t="n">
        <v>1090</v>
      </c>
      <c r="G4" s="3" t="n">
        <v>51</v>
      </c>
      <c r="H4" s="3" t="n">
        <v>11296</v>
      </c>
      <c r="I4" s="3" t="n">
        <v>0</v>
      </c>
      <c r="J4" s="3" t="n">
        <v>9</v>
      </c>
    </row>
    <row r="5" customFormat="false" ht="15" hidden="false" customHeight="false" outlineLevel="0" collapsed="false">
      <c r="A5" s="4" t="s">
        <v>10</v>
      </c>
      <c r="B5" s="4" t="s">
        <v>16</v>
      </c>
      <c r="C5" s="4" t="s">
        <v>17</v>
      </c>
      <c r="D5" s="5" t="n">
        <v>946</v>
      </c>
      <c r="E5" s="5" t="n">
        <v>67735</v>
      </c>
      <c r="F5" s="5" t="n">
        <v>1236</v>
      </c>
      <c r="G5" s="5" t="n">
        <v>34</v>
      </c>
      <c r="H5" s="5" t="n">
        <v>5409</v>
      </c>
      <c r="I5" s="5" t="n">
        <v>5006</v>
      </c>
      <c r="J5" s="5" t="n">
        <v>14</v>
      </c>
    </row>
    <row r="6" customFormat="false" ht="15" hidden="false" customHeight="false" outlineLevel="0" collapsed="false">
      <c r="A6" s="2" t="s">
        <v>10</v>
      </c>
      <c r="B6" s="2" t="s">
        <v>18</v>
      </c>
      <c r="C6" s="2" t="s">
        <v>14</v>
      </c>
      <c r="D6" s="3" t="n">
        <v>888</v>
      </c>
      <c r="E6" s="3" t="n">
        <v>21659</v>
      </c>
      <c r="F6" s="3" t="n">
        <v>941</v>
      </c>
      <c r="G6" s="3" t="n">
        <v>23</v>
      </c>
      <c r="H6" s="3" t="n">
        <v>4209</v>
      </c>
      <c r="I6" s="3" t="n">
        <v>0</v>
      </c>
      <c r="J6" s="3" t="n">
        <v>9</v>
      </c>
    </row>
    <row r="7" customFormat="false" ht="15" hidden="false" customHeight="false" outlineLevel="0" collapsed="false">
      <c r="A7" s="4" t="s">
        <v>19</v>
      </c>
      <c r="B7" s="4" t="s">
        <v>11</v>
      </c>
      <c r="C7" s="4" t="s">
        <v>12</v>
      </c>
      <c r="D7" s="5" t="n">
        <v>1344</v>
      </c>
      <c r="E7" s="5" t="n">
        <v>111222</v>
      </c>
      <c r="F7" s="5" t="n">
        <v>817</v>
      </c>
      <c r="G7" s="5" t="n">
        <v>26</v>
      </c>
      <c r="H7" s="5" t="n">
        <v>7223</v>
      </c>
      <c r="I7" s="5" t="n">
        <v>4578</v>
      </c>
      <c r="J7" s="5" t="n">
        <v>9</v>
      </c>
    </row>
    <row r="8" customFormat="false" ht="15" hidden="false" customHeight="false" outlineLevel="0" collapsed="false">
      <c r="A8" s="2" t="s">
        <v>19</v>
      </c>
      <c r="B8" s="2" t="s">
        <v>13</v>
      </c>
      <c r="C8" s="2" t="s">
        <v>14</v>
      </c>
      <c r="D8" s="3" t="n">
        <v>1860</v>
      </c>
      <c r="E8" s="3" t="n">
        <v>41477</v>
      </c>
      <c r="F8" s="3" t="n">
        <v>1863</v>
      </c>
      <c r="G8" s="3" t="n">
        <v>60</v>
      </c>
      <c r="H8" s="3" t="n">
        <v>16959</v>
      </c>
      <c r="I8" s="3" t="n">
        <v>0</v>
      </c>
      <c r="J8" s="3" t="n">
        <v>47</v>
      </c>
    </row>
    <row r="9" customFormat="false" ht="15" hidden="false" customHeight="false" outlineLevel="0" collapsed="false">
      <c r="A9" s="4" t="s">
        <v>19</v>
      </c>
      <c r="B9" s="4" t="s">
        <v>15</v>
      </c>
      <c r="C9" s="4" t="s">
        <v>14</v>
      </c>
      <c r="D9" s="5" t="n">
        <v>577</v>
      </c>
      <c r="E9" s="5" t="n">
        <v>39062</v>
      </c>
      <c r="F9" s="5" t="n">
        <v>1084</v>
      </c>
      <c r="G9" s="5" t="n">
        <v>44</v>
      </c>
      <c r="H9" s="5" t="n">
        <v>11853</v>
      </c>
      <c r="I9" s="5" t="n">
        <v>0</v>
      </c>
      <c r="J9" s="5" t="n">
        <v>8</v>
      </c>
    </row>
    <row r="10" customFormat="false" ht="15" hidden="false" customHeight="false" outlineLevel="0" collapsed="false">
      <c r="A10" s="2" t="s">
        <v>19</v>
      </c>
      <c r="B10" s="2" t="s">
        <v>16</v>
      </c>
      <c r="C10" s="2" t="s">
        <v>17</v>
      </c>
      <c r="D10" s="3" t="n">
        <v>744</v>
      </c>
      <c r="E10" s="3" t="n">
        <v>80202</v>
      </c>
      <c r="F10" s="3" t="n">
        <v>1241</v>
      </c>
      <c r="G10" s="3" t="n">
        <v>27</v>
      </c>
      <c r="H10" s="3" t="n">
        <v>7084</v>
      </c>
      <c r="I10" s="3" t="n">
        <v>6475</v>
      </c>
      <c r="J10" s="3" t="n">
        <v>18</v>
      </c>
    </row>
    <row r="11" customFormat="false" ht="15" hidden="false" customHeight="false" outlineLevel="0" collapsed="false">
      <c r="A11" s="4" t="s">
        <v>19</v>
      </c>
      <c r="B11" s="4" t="s">
        <v>18</v>
      </c>
      <c r="C11" s="4" t="s">
        <v>14</v>
      </c>
      <c r="D11" s="5" t="n">
        <v>833</v>
      </c>
      <c r="E11" s="5" t="n">
        <v>23838</v>
      </c>
      <c r="F11" s="5" t="n">
        <v>929</v>
      </c>
      <c r="G11" s="5" t="n">
        <v>18</v>
      </c>
      <c r="H11" s="5" t="n">
        <v>3290</v>
      </c>
      <c r="I11" s="5" t="n">
        <v>0</v>
      </c>
      <c r="J11" s="5" t="n">
        <v>8</v>
      </c>
    </row>
    <row r="12" customFormat="false" ht="15" hidden="false" customHeight="false" outlineLevel="0" collapsed="false">
      <c r="A12" s="2" t="s">
        <v>20</v>
      </c>
      <c r="B12" s="2" t="s">
        <v>11</v>
      </c>
      <c r="C12" s="2" t="s">
        <v>12</v>
      </c>
      <c r="D12" s="3" t="n">
        <v>1146</v>
      </c>
      <c r="E12" s="3" t="n">
        <v>116074</v>
      </c>
      <c r="F12" s="3" t="n">
        <v>905</v>
      </c>
      <c r="G12" s="3" t="n">
        <v>21</v>
      </c>
      <c r="H12" s="3" t="n">
        <v>7463</v>
      </c>
      <c r="I12" s="3" t="n">
        <v>4007</v>
      </c>
      <c r="J12" s="3" t="n">
        <v>14</v>
      </c>
    </row>
    <row r="13" customFormat="false" ht="15" hidden="false" customHeight="false" outlineLevel="0" collapsed="false">
      <c r="A13" s="4" t="s">
        <v>20</v>
      </c>
      <c r="B13" s="4" t="s">
        <v>13</v>
      </c>
      <c r="C13" s="4" t="s">
        <v>14</v>
      </c>
      <c r="D13" s="5" t="n">
        <v>2075</v>
      </c>
      <c r="E13" s="5" t="n">
        <v>40984</v>
      </c>
      <c r="F13" s="5" t="n">
        <v>2031</v>
      </c>
      <c r="G13" s="5" t="n">
        <v>70</v>
      </c>
      <c r="H13" s="5" t="n">
        <v>18423</v>
      </c>
      <c r="I13" s="5" t="n">
        <v>0</v>
      </c>
      <c r="J13" s="5" t="n">
        <v>52</v>
      </c>
    </row>
    <row r="14" customFormat="false" ht="15" hidden="false" customHeight="false" outlineLevel="0" collapsed="false">
      <c r="A14" s="2" t="s">
        <v>20</v>
      </c>
      <c r="B14" s="2" t="s">
        <v>15</v>
      </c>
      <c r="C14" s="2" t="s">
        <v>14</v>
      </c>
      <c r="D14" s="3" t="n">
        <v>586</v>
      </c>
      <c r="E14" s="3" t="n">
        <v>36312</v>
      </c>
      <c r="F14" s="3" t="n">
        <v>1515</v>
      </c>
      <c r="G14" s="3" t="n">
        <v>50</v>
      </c>
      <c r="H14" s="3" t="n">
        <v>8153</v>
      </c>
      <c r="I14" s="3" t="n">
        <v>0</v>
      </c>
      <c r="J14" s="3" t="n">
        <v>6</v>
      </c>
    </row>
    <row r="15" customFormat="false" ht="15" hidden="false" customHeight="false" outlineLevel="0" collapsed="false">
      <c r="A15" s="4" t="s">
        <v>20</v>
      </c>
      <c r="B15" s="4" t="s">
        <v>16</v>
      </c>
      <c r="C15" s="4" t="s">
        <v>17</v>
      </c>
      <c r="D15" s="5" t="n">
        <v>919</v>
      </c>
      <c r="E15" s="5" t="n">
        <v>82220</v>
      </c>
      <c r="F15" s="5" t="n">
        <v>1407</v>
      </c>
      <c r="G15" s="5" t="n">
        <v>23</v>
      </c>
      <c r="H15" s="5" t="n">
        <v>5525</v>
      </c>
      <c r="I15" s="5" t="n">
        <v>7431</v>
      </c>
      <c r="J15" s="5" t="n">
        <v>18</v>
      </c>
    </row>
    <row r="16" customFormat="false" ht="15" hidden="false" customHeight="false" outlineLevel="0" collapsed="false">
      <c r="A16" s="2" t="s">
        <v>20</v>
      </c>
      <c r="B16" s="2" t="s">
        <v>18</v>
      </c>
      <c r="C16" s="2" t="s">
        <v>14</v>
      </c>
      <c r="D16" s="3" t="n">
        <v>930</v>
      </c>
      <c r="E16" s="3" t="n">
        <v>24002</v>
      </c>
      <c r="F16" s="3" t="n">
        <v>650</v>
      </c>
      <c r="G16" s="3" t="n">
        <v>23</v>
      </c>
      <c r="H16" s="3" t="n">
        <v>4474</v>
      </c>
      <c r="I16" s="3" t="n">
        <v>0</v>
      </c>
      <c r="J16" s="3" t="n">
        <v>8</v>
      </c>
    </row>
    <row r="17" customFormat="false" ht="15" hidden="false" customHeight="false" outlineLevel="0" collapsed="false">
      <c r="A17" s="4" t="s">
        <v>21</v>
      </c>
      <c r="B17" s="4" t="s">
        <v>11</v>
      </c>
      <c r="C17" s="4" t="s">
        <v>12</v>
      </c>
      <c r="D17" s="5" t="n">
        <v>1395</v>
      </c>
      <c r="E17" s="5" t="n">
        <v>80539</v>
      </c>
      <c r="F17" s="5" t="n">
        <v>754</v>
      </c>
      <c r="G17" s="5" t="n">
        <v>22</v>
      </c>
      <c r="H17" s="5" t="n">
        <v>8380</v>
      </c>
      <c r="I17" s="5" t="n">
        <v>4894</v>
      </c>
      <c r="J17" s="5" t="n">
        <v>10</v>
      </c>
    </row>
    <row r="18" customFormat="false" ht="15" hidden="false" customHeight="false" outlineLevel="0" collapsed="false">
      <c r="A18" s="2" t="s">
        <v>21</v>
      </c>
      <c r="B18" s="2" t="s">
        <v>13</v>
      </c>
      <c r="C18" s="2" t="s">
        <v>14</v>
      </c>
      <c r="D18" s="3" t="n">
        <v>2114</v>
      </c>
      <c r="E18" s="3" t="n">
        <v>39250</v>
      </c>
      <c r="F18" s="3" t="n">
        <v>2701</v>
      </c>
      <c r="G18" s="3" t="n">
        <v>80</v>
      </c>
      <c r="H18" s="3" t="n">
        <v>18746</v>
      </c>
      <c r="I18" s="3" t="n">
        <v>0</v>
      </c>
      <c r="J18" s="3" t="n">
        <v>47</v>
      </c>
    </row>
    <row r="19" customFormat="false" ht="15" hidden="false" customHeight="false" outlineLevel="0" collapsed="false">
      <c r="A19" s="4" t="s">
        <v>21</v>
      </c>
      <c r="B19" s="4" t="s">
        <v>15</v>
      </c>
      <c r="C19" s="4" t="s">
        <v>14</v>
      </c>
      <c r="D19" s="5" t="n">
        <v>520</v>
      </c>
      <c r="E19" s="5" t="n">
        <v>46214</v>
      </c>
      <c r="F19" s="5" t="n">
        <v>1264</v>
      </c>
      <c r="G19" s="5" t="n">
        <v>56</v>
      </c>
      <c r="H19" s="5" t="n">
        <v>10075</v>
      </c>
      <c r="I19" s="5" t="n">
        <v>0</v>
      </c>
      <c r="J19" s="5" t="n">
        <v>7</v>
      </c>
    </row>
    <row r="20" customFormat="false" ht="15" hidden="false" customHeight="false" outlineLevel="0" collapsed="false">
      <c r="A20" s="2" t="s">
        <v>21</v>
      </c>
      <c r="B20" s="2" t="s">
        <v>16</v>
      </c>
      <c r="C20" s="2" t="s">
        <v>17</v>
      </c>
      <c r="D20" s="3" t="n">
        <v>686</v>
      </c>
      <c r="E20" s="3" t="n">
        <v>86612</v>
      </c>
      <c r="F20" s="3" t="n">
        <v>1699</v>
      </c>
      <c r="G20" s="3" t="n">
        <v>33</v>
      </c>
      <c r="H20" s="3" t="n">
        <v>5335</v>
      </c>
      <c r="I20" s="3" t="n">
        <v>4913</v>
      </c>
      <c r="J20" s="3" t="n">
        <v>20</v>
      </c>
    </row>
    <row r="21" customFormat="false" ht="15" hidden="false" customHeight="false" outlineLevel="0" collapsed="false">
      <c r="A21" s="4" t="s">
        <v>21</v>
      </c>
      <c r="B21" s="4" t="s">
        <v>18</v>
      </c>
      <c r="C21" s="4" t="s">
        <v>14</v>
      </c>
      <c r="D21" s="5" t="n">
        <v>922</v>
      </c>
      <c r="E21" s="5" t="n">
        <v>16937</v>
      </c>
      <c r="F21" s="5" t="n">
        <v>823</v>
      </c>
      <c r="G21" s="5" t="n">
        <v>17</v>
      </c>
      <c r="H21" s="5" t="n">
        <v>4618</v>
      </c>
      <c r="I21" s="5" t="n">
        <v>0</v>
      </c>
      <c r="J21" s="5" t="n">
        <v>8</v>
      </c>
    </row>
    <row r="22" customFormat="false" ht="15" hidden="false" customHeight="false" outlineLevel="0" collapsed="false">
      <c r="A22" s="2" t="s">
        <v>22</v>
      </c>
      <c r="B22" s="2" t="s">
        <v>11</v>
      </c>
      <c r="C22" s="2" t="s">
        <v>12</v>
      </c>
      <c r="D22" s="3" t="n">
        <v>1299</v>
      </c>
      <c r="E22" s="3" t="n">
        <v>99271</v>
      </c>
      <c r="F22" s="3" t="n">
        <v>696</v>
      </c>
      <c r="G22" s="3" t="n">
        <v>26</v>
      </c>
      <c r="H22" s="3" t="n">
        <v>6749</v>
      </c>
      <c r="I22" s="3" t="n">
        <v>3667</v>
      </c>
      <c r="J22" s="3" t="n">
        <v>12</v>
      </c>
    </row>
    <row r="23" customFormat="false" ht="15" hidden="false" customHeight="false" outlineLevel="0" collapsed="false">
      <c r="A23" s="4" t="s">
        <v>22</v>
      </c>
      <c r="B23" s="4" t="s">
        <v>13</v>
      </c>
      <c r="C23" s="4" t="s">
        <v>14</v>
      </c>
      <c r="D23" s="5" t="n">
        <v>2327</v>
      </c>
      <c r="E23" s="5" t="n">
        <v>39702</v>
      </c>
      <c r="F23" s="5" t="n">
        <v>2096</v>
      </c>
      <c r="G23" s="5" t="n">
        <v>84</v>
      </c>
      <c r="H23" s="5" t="n">
        <v>21927</v>
      </c>
      <c r="I23" s="5" t="n">
        <v>0</v>
      </c>
      <c r="J23" s="5" t="n">
        <v>45</v>
      </c>
    </row>
    <row r="24" customFormat="false" ht="15" hidden="false" customHeight="false" outlineLevel="0" collapsed="false">
      <c r="A24" s="2" t="s">
        <v>22</v>
      </c>
      <c r="B24" s="2" t="s">
        <v>15</v>
      </c>
      <c r="C24" s="2" t="s">
        <v>14</v>
      </c>
      <c r="D24" s="3" t="n">
        <v>511</v>
      </c>
      <c r="E24" s="3" t="n">
        <v>36410</v>
      </c>
      <c r="F24" s="3" t="n">
        <v>1154</v>
      </c>
      <c r="G24" s="3" t="n">
        <v>51</v>
      </c>
      <c r="H24" s="3" t="n">
        <v>8762</v>
      </c>
      <c r="I24" s="3" t="n">
        <v>0</v>
      </c>
      <c r="J24" s="3" t="n">
        <v>6</v>
      </c>
    </row>
    <row r="25" customFormat="false" ht="15" hidden="false" customHeight="false" outlineLevel="0" collapsed="false">
      <c r="A25" s="4" t="s">
        <v>22</v>
      </c>
      <c r="B25" s="4" t="s">
        <v>16</v>
      </c>
      <c r="C25" s="4" t="s">
        <v>17</v>
      </c>
      <c r="D25" s="5" t="n">
        <v>921</v>
      </c>
      <c r="E25" s="5" t="n">
        <v>64167</v>
      </c>
      <c r="F25" s="5" t="n">
        <v>1716</v>
      </c>
      <c r="G25" s="5" t="n">
        <v>33</v>
      </c>
      <c r="H25" s="5" t="n">
        <v>4728</v>
      </c>
      <c r="I25" s="5" t="n">
        <v>5396</v>
      </c>
      <c r="J25" s="5" t="n">
        <v>19</v>
      </c>
    </row>
    <row r="26" customFormat="false" ht="15" hidden="false" customHeight="false" outlineLevel="0" collapsed="false">
      <c r="A26" s="2" t="s">
        <v>22</v>
      </c>
      <c r="B26" s="2" t="s">
        <v>18</v>
      </c>
      <c r="C26" s="2" t="s">
        <v>14</v>
      </c>
      <c r="D26" s="3" t="n">
        <v>674</v>
      </c>
      <c r="E26" s="3" t="n">
        <v>17362</v>
      </c>
      <c r="F26" s="3" t="n">
        <v>987</v>
      </c>
      <c r="G26" s="3" t="n">
        <v>21</v>
      </c>
      <c r="H26" s="3" t="n">
        <v>4093</v>
      </c>
      <c r="I26" s="3" t="n">
        <v>0</v>
      </c>
      <c r="J26" s="3" t="n">
        <v>11</v>
      </c>
    </row>
    <row r="27" customFormat="false" ht="15" hidden="false" customHeight="false" outlineLevel="0" collapsed="false">
      <c r="A27" s="4" t="s">
        <v>23</v>
      </c>
      <c r="B27" s="4" t="s">
        <v>11</v>
      </c>
      <c r="C27" s="4" t="s">
        <v>12</v>
      </c>
      <c r="D27" s="5" t="n">
        <v>1135</v>
      </c>
      <c r="E27" s="5" t="n">
        <v>79914</v>
      </c>
      <c r="F27" s="5" t="n">
        <v>753</v>
      </c>
      <c r="G27" s="5" t="n">
        <v>22</v>
      </c>
      <c r="H27" s="5" t="n">
        <v>6884</v>
      </c>
      <c r="I27" s="5" t="n">
        <v>4623</v>
      </c>
      <c r="J27" s="5" t="n">
        <v>12</v>
      </c>
    </row>
    <row r="28" customFormat="false" ht="15" hidden="false" customHeight="false" outlineLevel="0" collapsed="false">
      <c r="A28" s="2" t="s">
        <v>23</v>
      </c>
      <c r="B28" s="2" t="s">
        <v>13</v>
      </c>
      <c r="C28" s="2" t="s">
        <v>14</v>
      </c>
      <c r="D28" s="3" t="n">
        <v>2564</v>
      </c>
      <c r="E28" s="3" t="n">
        <v>37636</v>
      </c>
      <c r="F28" s="3" t="n">
        <v>2188</v>
      </c>
      <c r="G28" s="3" t="n">
        <v>64</v>
      </c>
      <c r="H28" s="3" t="n">
        <v>23844</v>
      </c>
      <c r="I28" s="3" t="n">
        <v>0</v>
      </c>
      <c r="J28" s="3" t="n">
        <v>38</v>
      </c>
    </row>
    <row r="29" customFormat="false" ht="15" hidden="false" customHeight="false" outlineLevel="0" collapsed="false">
      <c r="A29" s="4" t="s">
        <v>23</v>
      </c>
      <c r="B29" s="4" t="s">
        <v>15</v>
      </c>
      <c r="C29" s="4" t="s">
        <v>14</v>
      </c>
      <c r="D29" s="5" t="n">
        <v>600</v>
      </c>
      <c r="E29" s="5" t="n">
        <v>40004</v>
      </c>
      <c r="F29" s="5" t="n">
        <v>1121</v>
      </c>
      <c r="G29" s="5" t="n">
        <v>44</v>
      </c>
      <c r="H29" s="5" t="n">
        <v>11794</v>
      </c>
      <c r="I29" s="5" t="n">
        <v>0</v>
      </c>
      <c r="J29" s="5" t="n">
        <v>9</v>
      </c>
    </row>
    <row r="30" customFormat="false" ht="15" hidden="false" customHeight="false" outlineLevel="0" collapsed="false">
      <c r="A30" s="2" t="s">
        <v>23</v>
      </c>
      <c r="B30" s="2" t="s">
        <v>16</v>
      </c>
      <c r="C30" s="2" t="s">
        <v>17</v>
      </c>
      <c r="D30" s="3" t="n">
        <v>890</v>
      </c>
      <c r="E30" s="3" t="n">
        <v>58450</v>
      </c>
      <c r="F30" s="3" t="n">
        <v>1777</v>
      </c>
      <c r="G30" s="3" t="n">
        <v>33</v>
      </c>
      <c r="H30" s="3" t="n">
        <v>7031</v>
      </c>
      <c r="I30" s="3" t="n">
        <v>7244</v>
      </c>
      <c r="J30" s="3" t="n">
        <v>20</v>
      </c>
    </row>
    <row r="31" customFormat="false" ht="15" hidden="false" customHeight="false" outlineLevel="0" collapsed="false">
      <c r="A31" s="4" t="s">
        <v>23</v>
      </c>
      <c r="B31" s="4" t="s">
        <v>18</v>
      </c>
      <c r="C31" s="4" t="s">
        <v>14</v>
      </c>
      <c r="D31" s="5" t="n">
        <v>657</v>
      </c>
      <c r="E31" s="5" t="n">
        <v>20583</v>
      </c>
      <c r="F31" s="5" t="n">
        <v>724</v>
      </c>
      <c r="G31" s="5" t="n">
        <v>20</v>
      </c>
      <c r="H31" s="5" t="n">
        <v>3338</v>
      </c>
      <c r="I31" s="5" t="n">
        <v>0</v>
      </c>
      <c r="J31" s="5" t="n">
        <v>12</v>
      </c>
    </row>
    <row r="32" customFormat="false" ht="15" hidden="false" customHeight="false" outlineLevel="0" collapsed="false">
      <c r="A32" s="2" t="s">
        <v>24</v>
      </c>
      <c r="B32" s="2" t="s">
        <v>11</v>
      </c>
      <c r="C32" s="2" t="s">
        <v>12</v>
      </c>
      <c r="D32" s="3" t="n">
        <v>1178</v>
      </c>
      <c r="E32" s="3" t="n">
        <v>109285</v>
      </c>
      <c r="F32" s="3" t="n">
        <v>761</v>
      </c>
      <c r="G32" s="3" t="n">
        <v>22</v>
      </c>
      <c r="H32" s="3" t="n">
        <v>8391</v>
      </c>
      <c r="I32" s="3" t="n">
        <v>5115</v>
      </c>
      <c r="J32" s="3" t="n">
        <v>12</v>
      </c>
    </row>
    <row r="33" customFormat="false" ht="15" hidden="false" customHeight="false" outlineLevel="0" collapsed="false">
      <c r="A33" s="4" t="s">
        <v>24</v>
      </c>
      <c r="B33" s="4" t="s">
        <v>13</v>
      </c>
      <c r="C33" s="4" t="s">
        <v>14</v>
      </c>
      <c r="D33" s="5" t="n">
        <v>2317</v>
      </c>
      <c r="E33" s="5" t="n">
        <v>38770</v>
      </c>
      <c r="F33" s="5" t="n">
        <v>2081</v>
      </c>
      <c r="G33" s="5" t="n">
        <v>83</v>
      </c>
      <c r="H33" s="5" t="n">
        <v>21287</v>
      </c>
      <c r="I33" s="5" t="n">
        <v>0</v>
      </c>
      <c r="J33" s="5" t="n">
        <v>49</v>
      </c>
    </row>
    <row r="34" customFormat="false" ht="15" hidden="false" customHeight="false" outlineLevel="0" collapsed="false">
      <c r="A34" s="2" t="s">
        <v>24</v>
      </c>
      <c r="B34" s="2" t="s">
        <v>15</v>
      </c>
      <c r="C34" s="2" t="s">
        <v>14</v>
      </c>
      <c r="D34" s="3" t="n">
        <v>494</v>
      </c>
      <c r="E34" s="3" t="n">
        <v>42963</v>
      </c>
      <c r="F34" s="3" t="n">
        <v>1244</v>
      </c>
      <c r="G34" s="3" t="n">
        <v>57</v>
      </c>
      <c r="H34" s="3" t="n">
        <v>8444</v>
      </c>
      <c r="I34" s="3" t="n">
        <v>0</v>
      </c>
      <c r="J34" s="3" t="n">
        <v>6</v>
      </c>
    </row>
    <row r="35" customFormat="false" ht="15" hidden="false" customHeight="false" outlineLevel="0" collapsed="false">
      <c r="A35" s="4" t="s">
        <v>24</v>
      </c>
      <c r="B35" s="4" t="s">
        <v>16</v>
      </c>
      <c r="C35" s="4" t="s">
        <v>17</v>
      </c>
      <c r="D35" s="5" t="n">
        <v>750</v>
      </c>
      <c r="E35" s="5" t="n">
        <v>75903</v>
      </c>
      <c r="F35" s="5" t="n">
        <v>1569</v>
      </c>
      <c r="G35" s="5" t="n">
        <v>25</v>
      </c>
      <c r="H35" s="5" t="n">
        <v>4854</v>
      </c>
      <c r="I35" s="5" t="n">
        <v>7147</v>
      </c>
      <c r="J35" s="5" t="n">
        <v>15</v>
      </c>
    </row>
    <row r="36" customFormat="false" ht="15" hidden="false" customHeight="false" outlineLevel="0" collapsed="false">
      <c r="A36" s="2" t="s">
        <v>24</v>
      </c>
      <c r="B36" s="2" t="s">
        <v>18</v>
      </c>
      <c r="C36" s="2" t="s">
        <v>14</v>
      </c>
      <c r="D36" s="3" t="n">
        <v>803</v>
      </c>
      <c r="E36" s="3" t="n">
        <v>21802</v>
      </c>
      <c r="F36" s="3" t="n">
        <v>799</v>
      </c>
      <c r="G36" s="3" t="n">
        <v>21</v>
      </c>
      <c r="H36" s="3" t="n">
        <v>4184</v>
      </c>
      <c r="I36" s="3" t="n">
        <v>0</v>
      </c>
      <c r="J36" s="3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</cols>
  <sheetData>
    <row r="1" customFormat="false" ht="15" hidden="false" customHeight="false" outlineLevel="0" collapsed="false">
      <c r="A1" s="1" t="s">
        <v>1</v>
      </c>
      <c r="B1" s="1" t="s">
        <v>25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26</v>
      </c>
      <c r="H1" s="1" t="s">
        <v>27</v>
      </c>
      <c r="I1" s="1" t="s">
        <v>28</v>
      </c>
      <c r="J1" s="1" t="s">
        <v>29</v>
      </c>
    </row>
    <row r="2" customFormat="false" ht="15" hidden="false" customHeight="false" outlineLevel="0" collapsed="false">
      <c r="A2" s="2" t="s">
        <v>11</v>
      </c>
      <c r="B2" s="3" t="n">
        <f aca="false">SUMIFS('Daily Data'!D:D,'Daily Data'!B:B,A2)</f>
        <v>8891</v>
      </c>
      <c r="C2" s="3" t="n">
        <f aca="false">SUMIFS('Daily Data'!E:E,'Daily Data'!B:B,A2)</f>
        <v>673145</v>
      </c>
      <c r="D2" s="3" t="n">
        <f aca="false">SUMIFS('Daily Data'!F:F,'Daily Data'!B:B,A2)</f>
        <v>5386</v>
      </c>
      <c r="E2" s="3" t="n">
        <f aca="false">SUMIFS('Daily Data'!G:G,'Daily Data'!B:B,A2)</f>
        <v>159</v>
      </c>
      <c r="F2" s="3" t="n">
        <f aca="false">SUMIFS('Daily Data'!H:H,'Daily Data'!B:B,A2)</f>
        <v>52802</v>
      </c>
      <c r="G2" s="6" t="n">
        <f aca="false">IF(B2=0,0,F2/B2)</f>
        <v>5.93881453154876</v>
      </c>
      <c r="H2" s="7" t="n">
        <f aca="false">IF(E2=0,0,B2/E2)</f>
        <v>55.9182389937107</v>
      </c>
      <c r="I2" s="8" t="n">
        <f aca="false">IF(C2=0,0,D2/C2)</f>
        <v>0.00800124787378648</v>
      </c>
      <c r="J2" s="8" t="n">
        <f aca="false">IF(D2=0,0,E2/D2)</f>
        <v>0.0295209803193465</v>
      </c>
    </row>
    <row r="3" customFormat="false" ht="15" hidden="false" customHeight="false" outlineLevel="0" collapsed="false">
      <c r="A3" s="4" t="s">
        <v>13</v>
      </c>
      <c r="B3" s="5" t="n">
        <f aca="false">SUMIFS('Daily Data'!D:D,'Daily Data'!B:B,A3)</f>
        <v>14986</v>
      </c>
      <c r="C3" s="5" t="n">
        <f aca="false">SUMIFS('Daily Data'!E:E,'Daily Data'!B:B,A3)</f>
        <v>281962</v>
      </c>
      <c r="D3" s="5" t="n">
        <f aca="false">SUMIFS('Daily Data'!F:F,'Daily Data'!B:B,A3)</f>
        <v>14773</v>
      </c>
      <c r="E3" s="5" t="n">
        <f aca="false">SUMIFS('Daily Data'!G:G,'Daily Data'!B:B,A3)</f>
        <v>501</v>
      </c>
      <c r="F3" s="5" t="n">
        <f aca="false">SUMIFS('Daily Data'!H:H,'Daily Data'!B:B,A3)</f>
        <v>141805</v>
      </c>
      <c r="G3" s="9" t="n">
        <f aca="false">IF(B3=0,0,F3/B3)</f>
        <v>9.46249833177632</v>
      </c>
      <c r="H3" s="10" t="n">
        <f aca="false">IF(E3=0,0,B3/E3)</f>
        <v>29.9121756487026</v>
      </c>
      <c r="I3" s="11" t="n">
        <f aca="false">IF(C3=0,0,D3/C3)</f>
        <v>0.0523935849511636</v>
      </c>
      <c r="J3" s="11" t="n">
        <f aca="false">IF(D3=0,0,E3/D3)</f>
        <v>0.0339132200636296</v>
      </c>
    </row>
    <row r="4" customFormat="false" ht="15" hidden="false" customHeight="false" outlineLevel="0" collapsed="false">
      <c r="A4" s="2" t="s">
        <v>15</v>
      </c>
      <c r="B4" s="3" t="n">
        <f aca="false">SUMIFS('Daily Data'!D:D,'Daily Data'!B:B,A4)</f>
        <v>3942</v>
      </c>
      <c r="C4" s="3" t="n">
        <f aca="false">SUMIFS('Daily Data'!E:E,'Daily Data'!B:B,A4)</f>
        <v>283213</v>
      </c>
      <c r="D4" s="3" t="n">
        <f aca="false">SUMIFS('Daily Data'!F:F,'Daily Data'!B:B,A4)</f>
        <v>8472</v>
      </c>
      <c r="E4" s="3" t="n">
        <f aca="false">SUMIFS('Daily Data'!G:G,'Daily Data'!B:B,A4)</f>
        <v>353</v>
      </c>
      <c r="F4" s="3" t="n">
        <f aca="false">SUMIFS('Daily Data'!H:H,'Daily Data'!B:B,A4)</f>
        <v>70377</v>
      </c>
      <c r="G4" s="6" t="n">
        <f aca="false">IF(B4=0,0,F4/B4)</f>
        <v>17.8531202435312</v>
      </c>
      <c r="H4" s="7" t="n">
        <f aca="false">IF(E4=0,0,B4/E4)</f>
        <v>11.1671388101983</v>
      </c>
      <c r="I4" s="8" t="n">
        <f aca="false">IF(C4=0,0,D4/C4)</f>
        <v>0.0299138810718435</v>
      </c>
      <c r="J4" s="8" t="n">
        <f aca="false">IF(D4=0,0,E4/D4)</f>
        <v>0.0416666666666667</v>
      </c>
    </row>
    <row r="5" customFormat="false" ht="15" hidden="false" customHeight="false" outlineLevel="0" collapsed="false">
      <c r="A5" s="4" t="s">
        <v>16</v>
      </c>
      <c r="B5" s="5" t="n">
        <f aca="false">SUMIFS('Daily Data'!D:D,'Daily Data'!B:B,A5)</f>
        <v>5856</v>
      </c>
      <c r="C5" s="5" t="n">
        <f aca="false">SUMIFS('Daily Data'!E:E,'Daily Data'!B:B,A5)</f>
        <v>515289</v>
      </c>
      <c r="D5" s="5" t="n">
        <f aca="false">SUMIFS('Daily Data'!F:F,'Daily Data'!B:B,A5)</f>
        <v>10645</v>
      </c>
      <c r="E5" s="5" t="n">
        <f aca="false">SUMIFS('Daily Data'!G:G,'Daily Data'!B:B,A5)</f>
        <v>208</v>
      </c>
      <c r="F5" s="5" t="n">
        <f aca="false">SUMIFS('Daily Data'!H:H,'Daily Data'!B:B,A5)</f>
        <v>39966</v>
      </c>
      <c r="G5" s="9" t="n">
        <f aca="false">IF(B5=0,0,F5/B5)</f>
        <v>6.82479508196721</v>
      </c>
      <c r="H5" s="10" t="n">
        <f aca="false">IF(E5=0,0,B5/E5)</f>
        <v>28.1538461538462</v>
      </c>
      <c r="I5" s="11" t="n">
        <f aca="false">IF(C5=0,0,D5/C5)</f>
        <v>0.0206583101909802</v>
      </c>
      <c r="J5" s="11" t="n">
        <f aca="false">IF(D5=0,0,E5/D5)</f>
        <v>0.019539689995303</v>
      </c>
    </row>
    <row r="6" customFormat="false" ht="15" hidden="false" customHeight="false" outlineLevel="0" collapsed="false">
      <c r="A6" s="2" t="s">
        <v>18</v>
      </c>
      <c r="B6" s="3" t="n">
        <f aca="false">SUMIFS('Daily Data'!D:D,'Daily Data'!B:B,A6)</f>
        <v>5707</v>
      </c>
      <c r="C6" s="3" t="n">
        <f aca="false">SUMIFS('Daily Data'!E:E,'Daily Data'!B:B,A6)</f>
        <v>146183</v>
      </c>
      <c r="D6" s="3" t="n">
        <f aca="false">SUMIFS('Daily Data'!F:F,'Daily Data'!B:B,A6)</f>
        <v>5853</v>
      </c>
      <c r="E6" s="3" t="n">
        <f aca="false">SUMIFS('Daily Data'!G:G,'Daily Data'!B:B,A6)</f>
        <v>143</v>
      </c>
      <c r="F6" s="3" t="n">
        <f aca="false">SUMIFS('Daily Data'!H:H,'Daily Data'!B:B,A6)</f>
        <v>28206</v>
      </c>
      <c r="G6" s="6" t="n">
        <f aca="false">IF(B6=0,0,F6/B6)</f>
        <v>4.94235149816015</v>
      </c>
      <c r="H6" s="7" t="n">
        <f aca="false">IF(E6=0,0,B6/E6)</f>
        <v>39.9090909090909</v>
      </c>
      <c r="I6" s="8" t="n">
        <f aca="false">IF(C6=0,0,D6/C6)</f>
        <v>0.0400388554072635</v>
      </c>
      <c r="J6" s="8" t="n">
        <f aca="false">IF(D6=0,0,E6/D6)</f>
        <v>0.0244319152571331</v>
      </c>
    </row>
    <row r="7" customFormat="false" ht="15" hidden="false" customHeight="false" outlineLevel="0" collapsed="false">
      <c r="A7" s="12" t="s">
        <v>30</v>
      </c>
      <c r="B7" s="13" t="n">
        <f aca="false">SUM(B2:B6)</f>
        <v>39382</v>
      </c>
      <c r="C7" s="13" t="n">
        <f aca="false">SUM(C2:C6)</f>
        <v>1899792</v>
      </c>
      <c r="D7" s="13" t="n">
        <f aca="false">SUM(D2:D6)</f>
        <v>45129</v>
      </c>
      <c r="E7" s="13" t="n">
        <f aca="false">SUM(E2:E6)</f>
        <v>1364</v>
      </c>
      <c r="F7" s="13" t="n">
        <f aca="false">SUM(F2:F6)</f>
        <v>333156</v>
      </c>
      <c r="G7" s="14" t="n">
        <f aca="false">IF(B7=0,0,F7/B7)</f>
        <v>8.45960083286781</v>
      </c>
      <c r="H7" s="15" t="n">
        <f aca="false">IF(E7=0,0,B7/E7)</f>
        <v>28.8724340175953</v>
      </c>
      <c r="I7" s="16" t="n">
        <f aca="false">IF(C7=0,0,D7/C7)</f>
        <v>0.0237547057783168</v>
      </c>
      <c r="J7" s="16" t="n">
        <f aca="false">IF(D7=0,0,E7/D7)</f>
        <v>0.0302244676372178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1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customFormat="false" ht="15" hidden="false" customHeight="false" outlineLevel="0" collapsed="false">
      <c r="A2" s="2" t="s">
        <v>11</v>
      </c>
      <c r="B2" s="17" t="n">
        <v>9200</v>
      </c>
      <c r="C2" s="17" t="n">
        <f aca="false">'Weekly Summary'!B2</f>
        <v>8891</v>
      </c>
      <c r="D2" s="18" t="n">
        <f aca="false">IF(B2=0,0,C2/B2)</f>
        <v>0.966413043478261</v>
      </c>
      <c r="E2" s="17" t="n">
        <f aca="false">B2-C2</f>
        <v>309</v>
      </c>
      <c r="F2" s="2" t="str">
        <f aca="false">IF(D2&lt;=0.3,"Under","Over")</f>
        <v>Over</v>
      </c>
    </row>
    <row r="3" customFormat="false" ht="15" hidden="false" customHeight="false" outlineLevel="0" collapsed="false">
      <c r="A3" s="4" t="s">
        <v>13</v>
      </c>
      <c r="B3" s="19" t="n">
        <v>14800</v>
      </c>
      <c r="C3" s="19" t="n">
        <f aca="false">'Weekly Summary'!B3</f>
        <v>14986</v>
      </c>
      <c r="D3" s="20" t="n">
        <f aca="false">IF(B3=0,0,C3/B3)</f>
        <v>1.01256756756757</v>
      </c>
      <c r="E3" s="19" t="n">
        <f aca="false">B3-C3</f>
        <v>-186</v>
      </c>
      <c r="F3" s="4" t="str">
        <f aca="false">IF(D3&lt;=0.3,"Under","Over")</f>
        <v>Over</v>
      </c>
    </row>
    <row r="4" customFormat="false" ht="15" hidden="false" customHeight="false" outlineLevel="0" collapsed="false">
      <c r="A4" s="2" t="s">
        <v>15</v>
      </c>
      <c r="B4" s="17" t="n">
        <v>4300</v>
      </c>
      <c r="C4" s="17" t="n">
        <f aca="false">'Weekly Summary'!B4</f>
        <v>3942</v>
      </c>
      <c r="D4" s="18" t="n">
        <f aca="false">IF(B4=0,0,C4/B4)</f>
        <v>0.916744186046512</v>
      </c>
      <c r="E4" s="17" t="n">
        <f aca="false">B4-C4</f>
        <v>358</v>
      </c>
      <c r="F4" s="2" t="str">
        <f aca="false">IF(D4&lt;=0.3,"Under","Over")</f>
        <v>Over</v>
      </c>
    </row>
    <row r="5" customFormat="false" ht="15" hidden="false" customHeight="false" outlineLevel="0" collapsed="false">
      <c r="A5" s="4" t="s">
        <v>16</v>
      </c>
      <c r="B5" s="19" t="n">
        <v>6100</v>
      </c>
      <c r="C5" s="19" t="n">
        <f aca="false">'Weekly Summary'!B5</f>
        <v>5856</v>
      </c>
      <c r="D5" s="20" t="n">
        <f aca="false">IF(B5=0,0,C5/B5)</f>
        <v>0.96</v>
      </c>
      <c r="E5" s="19" t="n">
        <f aca="false">B5-C5</f>
        <v>244</v>
      </c>
      <c r="F5" s="4" t="str">
        <f aca="false">IF(D5&lt;=0.3,"Under","Over")</f>
        <v>Over</v>
      </c>
    </row>
    <row r="6" customFormat="false" ht="15" hidden="false" customHeight="false" outlineLevel="0" collapsed="false">
      <c r="A6" s="2" t="s">
        <v>18</v>
      </c>
      <c r="B6" s="17" t="n">
        <v>5400</v>
      </c>
      <c r="C6" s="17" t="n">
        <f aca="false">'Weekly Summary'!B6</f>
        <v>5707</v>
      </c>
      <c r="D6" s="18" t="n">
        <f aca="false">IF(B6=0,0,C6/B6)</f>
        <v>1.05685185185185</v>
      </c>
      <c r="E6" s="17" t="n">
        <f aca="false">B6-C6</f>
        <v>-307</v>
      </c>
      <c r="F6" s="2" t="str">
        <f aca="false">IF(D6&lt;=0.3,"Under","Over")</f>
        <v>Over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2026-03-25T13:30:56Z</dcterms:created>
  <dc:creator>openpyxl</dc:creator>
  <dc:description/>
  <dc:language>en-US</dc:language>
  <cp:lastModifiedBy/>
  <dcterms:modified xsi:type="dcterms:W3CDTF">2026-03-25T13:30:56Z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