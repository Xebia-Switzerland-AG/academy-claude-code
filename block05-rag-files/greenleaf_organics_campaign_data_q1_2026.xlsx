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erformance" sheetId="1" state="visible" r:id="rId3"/>
    <sheet name="Monthly Summary" sheetId="2" state="visible" r:id="rId4"/>
    <sheet name="Channel Targets Q1 2026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<sst xmlns="http://schemas.openxmlformats.org/spreadsheetml/2006/main" count="327" uniqueCount="66">
  <si>
    <t xml:space="preserve">Week</t>
  </si>
  <si>
    <t xml:space="preserve">Start Date</t>
  </si>
  <si>
    <t xml:space="preserve">End Date</t>
  </si>
  <si>
    <t xml:space="preserve">Campaign</t>
  </si>
  <si>
    <t xml:space="preserve">Platform</t>
  </si>
  <si>
    <t xml:space="preserve">Spend</t>
  </si>
  <si>
    <t xml:space="preserve">Impressions</t>
  </si>
  <si>
    <t xml:space="preserve">Clicks</t>
  </si>
  <si>
    <t xml:space="preserve">Conversions</t>
  </si>
  <si>
    <t xml:space="preserve">Revenue</t>
  </si>
  <si>
    <t xml:space="preserve">W01</t>
  </si>
  <si>
    <t xml:space="preserve">Brand - Search</t>
  </si>
  <si>
    <t xml:space="preserve">Google Ads</t>
  </si>
  <si>
    <t xml:space="preserve">Social - Instagram</t>
  </si>
  <si>
    <t xml:space="preserve">Meta</t>
  </si>
  <si>
    <t xml:space="preserve">Social - TikTok</t>
  </si>
  <si>
    <t xml:space="preserve">TikTok Ads</t>
  </si>
  <si>
    <t xml:space="preserve">Retargeting - Meta</t>
  </si>
  <si>
    <t xml:space="preserve">Shopping - Google</t>
  </si>
  <si>
    <t xml:space="preserve">Influencer Amplification</t>
  </si>
  <si>
    <t xml:space="preserve">W02</t>
  </si>
  <si>
    <t xml:space="preserve">W03</t>
  </si>
  <si>
    <t xml:space="preserve">W04</t>
  </si>
  <si>
    <t xml:space="preserve">W05</t>
  </si>
  <si>
    <t xml:space="preserve">W06</t>
  </si>
  <si>
    <t xml:space="preserve">W07</t>
  </si>
  <si>
    <t xml:space="preserve">W08</t>
  </si>
  <si>
    <t xml:space="preserve">W09</t>
  </si>
  <si>
    <t xml:space="preserve">W10</t>
  </si>
  <si>
    <t xml:space="preserve">W11</t>
  </si>
  <si>
    <t xml:space="preserve">W12</t>
  </si>
  <si>
    <t xml:space="preserve">W13</t>
  </si>
  <si>
    <t xml:space="preserve">Month</t>
  </si>
  <si>
    <t xml:space="preserve">ROAS</t>
  </si>
  <si>
    <t xml:space="preserve">CPA</t>
  </si>
  <si>
    <t xml:space="preserve">CTR</t>
  </si>
  <si>
    <t xml:space="preserve">CVR</t>
  </si>
  <si>
    <t xml:space="preserve">January</t>
  </si>
  <si>
    <t xml:space="preserve">February</t>
  </si>
  <si>
    <t xml:space="preserve">March</t>
  </si>
  <si>
    <t xml:space="preserve">Monthly Budget Target</t>
  </si>
  <si>
    <t xml:space="preserve">ROAS Target</t>
  </si>
  <si>
    <t xml:space="preserve">CPA Target</t>
  </si>
  <si>
    <t xml:space="preserve">CTR Target</t>
  </si>
  <si>
    <t xml:space="preserve">Notes</t>
  </si>
  <si>
    <t xml:space="preserve">4.0x</t>
  </si>
  <si>
    <t xml:space="preserve">€16</t>
  </si>
  <si>
    <t xml:space="preserve">4.5%</t>
  </si>
  <si>
    <t xml:space="preserve">Protect brand terms; match Acme Retail benchmark</t>
  </si>
  <si>
    <t xml:space="preserve">2.5x</t>
  </si>
  <si>
    <t xml:space="preserve">1.8%</t>
  </si>
  <si>
    <t xml:space="preserve">Focus on Reels; align with influencer calendar</t>
  </si>
  <si>
    <t xml:space="preserve">2.0x</t>
  </si>
  <si>
    <t xml:space="preserve">€20</t>
  </si>
  <si>
    <t xml:space="preserve">0.6%</t>
  </si>
  <si>
    <t xml:space="preserve">Awareness-first; test TikTok Shop in Feb</t>
  </si>
  <si>
    <t xml:space="preserve">€14</t>
  </si>
  <si>
    <t xml:space="preserve">2.8%</t>
  </si>
  <si>
    <t xml:space="preserve">30-day window; dynamic product ads</t>
  </si>
  <si>
    <t xml:space="preserve">€15</t>
  </si>
  <si>
    <t xml:space="preserve">3.2%</t>
  </si>
  <si>
    <t xml:space="preserve">Feed optimization monthly; high-margin priority</t>
  </si>
  <si>
    <t xml:space="preserve">1.5x</t>
  </si>
  <si>
    <t xml:space="preserve">€35</t>
  </si>
  <si>
    <t xml:space="preserve">0.5%</t>
  </si>
  <si>
    <t xml:space="preserve">Rotate 3–4 creators per quarter; engagement &gt;4%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</si>
</sst>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0.00\x"/>
    <numFmt numFmtId="168" formatCode="#,##0.00"/>
    <numFmt numFmtId="169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21563"/>
        <bgColor rgb="FF800080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D"/>
      </left>
      <right style="thin">
        <color rgb="FFC8C8CD"/>
      </right>
      <top style="thin">
        <color rgb="FFC8C8CD"/>
      </top>
      <bottom style="thin">
        <color rgb="FFC8C8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D"/>
      <rgbColor rgb="FF808080"/>
      <rgbColor rgb="FF9999FF"/>
      <rgbColor rgb="FF993366"/>
      <rgbColor rgb="FFF5F5F5"/>
      <rgbColor rgb="FFCCFFFF"/>
      <rgbColor rgb="FF62156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n">
        <v>46027</v>
      </c>
      <c r="C2" s="3" t="n">
        <v>46033</v>
      </c>
      <c r="D2" s="2" t="s">
        <v>11</v>
      </c>
      <c r="E2" s="2" t="s">
        <v>12</v>
      </c>
      <c r="F2" s="4" t="n">
        <v>1021</v>
      </c>
      <c r="G2" s="4" t="n">
        <v>33200</v>
      </c>
      <c r="H2" s="4" t="n">
        <v>1971</v>
      </c>
      <c r="I2" s="4" t="n">
        <v>62</v>
      </c>
      <c r="J2" s="4" t="n">
        <v>4614</v>
      </c>
    </row>
    <row r="3" customFormat="false" ht="15" hidden="false" customHeight="false" outlineLevel="0" collapsed="false">
      <c r="A3" s="5" t="s">
        <v>10</v>
      </c>
      <c r="B3" s="6" t="n">
        <v>46027</v>
      </c>
      <c r="C3" s="6" t="n">
        <v>46033</v>
      </c>
      <c r="D3" s="5" t="s">
        <v>13</v>
      </c>
      <c r="E3" s="5" t="s">
        <v>14</v>
      </c>
      <c r="F3" s="7" t="n">
        <v>1526</v>
      </c>
      <c r="G3" s="7" t="n">
        <v>253027</v>
      </c>
      <c r="H3" s="7" t="n">
        <v>2778</v>
      </c>
      <c r="I3" s="7" t="n">
        <v>64</v>
      </c>
      <c r="J3" s="7" t="n">
        <v>2433</v>
      </c>
    </row>
    <row r="4" customFormat="false" ht="15" hidden="false" customHeight="false" outlineLevel="0" collapsed="false">
      <c r="A4" s="2" t="s">
        <v>10</v>
      </c>
      <c r="B4" s="3" t="n">
        <v>46027</v>
      </c>
      <c r="C4" s="3" t="n">
        <v>46033</v>
      </c>
      <c r="D4" s="2" t="s">
        <v>15</v>
      </c>
      <c r="E4" s="2" t="s">
        <v>16</v>
      </c>
      <c r="F4" s="4" t="n">
        <v>635</v>
      </c>
      <c r="G4" s="4" t="n">
        <v>327085</v>
      </c>
      <c r="H4" s="4" t="n">
        <v>1328</v>
      </c>
      <c r="I4" s="4" t="n">
        <v>26</v>
      </c>
      <c r="J4" s="4" t="n">
        <v>1096</v>
      </c>
    </row>
    <row r="5" customFormat="false" ht="15" hidden="false" customHeight="false" outlineLevel="0" collapsed="false">
      <c r="A5" s="5" t="s">
        <v>10</v>
      </c>
      <c r="B5" s="6" t="n">
        <v>46027</v>
      </c>
      <c r="C5" s="6" t="n">
        <v>46033</v>
      </c>
      <c r="D5" s="5" t="s">
        <v>17</v>
      </c>
      <c r="E5" s="5" t="s">
        <v>14</v>
      </c>
      <c r="F5" s="7" t="n">
        <v>622</v>
      </c>
      <c r="G5" s="7" t="n">
        <v>42684</v>
      </c>
      <c r="H5" s="7" t="n">
        <v>1509</v>
      </c>
      <c r="I5" s="7" t="n">
        <v>57</v>
      </c>
      <c r="J5" s="7" t="n">
        <v>2270</v>
      </c>
    </row>
    <row r="6" customFormat="false" ht="15" hidden="false" customHeight="false" outlineLevel="0" collapsed="false">
      <c r="A6" s="2" t="s">
        <v>10</v>
      </c>
      <c r="B6" s="3" t="n">
        <v>46027</v>
      </c>
      <c r="C6" s="3" t="n">
        <v>46033</v>
      </c>
      <c r="D6" s="2" t="s">
        <v>18</v>
      </c>
      <c r="E6" s="2" t="s">
        <v>12</v>
      </c>
      <c r="F6" s="4" t="n">
        <v>1370</v>
      </c>
      <c r="G6" s="4" t="n">
        <v>76947</v>
      </c>
      <c r="H6" s="4" t="n">
        <v>2371</v>
      </c>
      <c r="I6" s="4" t="n">
        <v>76</v>
      </c>
      <c r="J6" s="4" t="n">
        <v>6279</v>
      </c>
    </row>
    <row r="7" customFormat="false" ht="15" hidden="false" customHeight="false" outlineLevel="0" collapsed="false">
      <c r="A7" s="5" t="s">
        <v>10</v>
      </c>
      <c r="B7" s="6" t="n">
        <v>46027</v>
      </c>
      <c r="C7" s="6" t="n">
        <v>46033</v>
      </c>
      <c r="D7" s="5" t="s">
        <v>19</v>
      </c>
      <c r="E7" s="5" t="s">
        <v>14</v>
      </c>
      <c r="F7" s="7" t="n">
        <v>477</v>
      </c>
      <c r="G7" s="7" t="n">
        <v>118279</v>
      </c>
      <c r="H7" s="7" t="n">
        <v>592</v>
      </c>
      <c r="I7" s="7" t="n">
        <v>13</v>
      </c>
      <c r="J7" s="7" t="n">
        <v>573</v>
      </c>
    </row>
    <row r="8" customFormat="false" ht="15" hidden="false" customHeight="false" outlineLevel="0" collapsed="false">
      <c r="A8" s="2" t="s">
        <v>20</v>
      </c>
      <c r="B8" s="3" t="n">
        <v>46034</v>
      </c>
      <c r="C8" s="3" t="n">
        <v>46040</v>
      </c>
      <c r="D8" s="2" t="s">
        <v>11</v>
      </c>
      <c r="E8" s="2" t="s">
        <v>12</v>
      </c>
      <c r="F8" s="4" t="n">
        <v>1085</v>
      </c>
      <c r="G8" s="4" t="n">
        <v>44475</v>
      </c>
      <c r="H8" s="4" t="n">
        <v>2193</v>
      </c>
      <c r="I8" s="4" t="n">
        <v>83</v>
      </c>
      <c r="J8" s="4" t="n">
        <v>4021</v>
      </c>
    </row>
    <row r="9" customFormat="false" ht="15" hidden="false" customHeight="false" outlineLevel="0" collapsed="false">
      <c r="A9" s="5" t="s">
        <v>20</v>
      </c>
      <c r="B9" s="6" t="n">
        <v>46034</v>
      </c>
      <c r="C9" s="6" t="n">
        <v>46040</v>
      </c>
      <c r="D9" s="5" t="s">
        <v>13</v>
      </c>
      <c r="E9" s="5" t="s">
        <v>14</v>
      </c>
      <c r="F9" s="7" t="n">
        <v>1457</v>
      </c>
      <c r="G9" s="7" t="n">
        <v>247628</v>
      </c>
      <c r="H9" s="7" t="n">
        <v>3469</v>
      </c>
      <c r="I9" s="7" t="n">
        <v>75</v>
      </c>
      <c r="J9" s="7" t="n">
        <v>3074</v>
      </c>
    </row>
    <row r="10" customFormat="false" ht="15" hidden="false" customHeight="false" outlineLevel="0" collapsed="false">
      <c r="A10" s="2" t="s">
        <v>20</v>
      </c>
      <c r="B10" s="3" t="n">
        <v>46034</v>
      </c>
      <c r="C10" s="3" t="n">
        <v>46040</v>
      </c>
      <c r="D10" s="2" t="s">
        <v>15</v>
      </c>
      <c r="E10" s="2" t="s">
        <v>16</v>
      </c>
      <c r="F10" s="4" t="n">
        <v>771</v>
      </c>
      <c r="G10" s="4" t="n">
        <v>268265</v>
      </c>
      <c r="H10" s="4" t="n">
        <v>1457</v>
      </c>
      <c r="I10" s="4" t="n">
        <v>27</v>
      </c>
      <c r="J10" s="4" t="n">
        <v>864</v>
      </c>
    </row>
    <row r="11" customFormat="false" ht="15" hidden="false" customHeight="false" outlineLevel="0" collapsed="false">
      <c r="A11" s="5" t="s">
        <v>20</v>
      </c>
      <c r="B11" s="6" t="n">
        <v>46034</v>
      </c>
      <c r="C11" s="6" t="n">
        <v>46040</v>
      </c>
      <c r="D11" s="5" t="s">
        <v>17</v>
      </c>
      <c r="E11" s="5" t="s">
        <v>14</v>
      </c>
      <c r="F11" s="7" t="n">
        <v>547</v>
      </c>
      <c r="G11" s="7" t="n">
        <v>40438</v>
      </c>
      <c r="H11" s="7" t="n">
        <v>1331</v>
      </c>
      <c r="I11" s="7" t="n">
        <v>53</v>
      </c>
      <c r="J11" s="7" t="n">
        <v>2665</v>
      </c>
    </row>
    <row r="12" customFormat="false" ht="15" hidden="false" customHeight="false" outlineLevel="0" collapsed="false">
      <c r="A12" s="2" t="s">
        <v>20</v>
      </c>
      <c r="B12" s="3" t="n">
        <v>46034</v>
      </c>
      <c r="C12" s="3" t="n">
        <v>46040</v>
      </c>
      <c r="D12" s="2" t="s">
        <v>18</v>
      </c>
      <c r="E12" s="2" t="s">
        <v>12</v>
      </c>
      <c r="F12" s="4" t="n">
        <v>1161</v>
      </c>
      <c r="G12" s="4" t="n">
        <v>63266</v>
      </c>
      <c r="H12" s="4" t="n">
        <v>2298</v>
      </c>
      <c r="I12" s="4" t="n">
        <v>103</v>
      </c>
      <c r="J12" s="4" t="n">
        <v>5633</v>
      </c>
    </row>
    <row r="13" customFormat="false" ht="15" hidden="false" customHeight="false" outlineLevel="0" collapsed="false">
      <c r="A13" s="5" t="s">
        <v>20</v>
      </c>
      <c r="B13" s="6" t="n">
        <v>46034</v>
      </c>
      <c r="C13" s="6" t="n">
        <v>46040</v>
      </c>
      <c r="D13" s="5" t="s">
        <v>19</v>
      </c>
      <c r="E13" s="5" t="s">
        <v>14</v>
      </c>
      <c r="F13" s="7" t="n">
        <v>531</v>
      </c>
      <c r="G13" s="7" t="n">
        <v>122606</v>
      </c>
      <c r="H13" s="7" t="n">
        <v>767</v>
      </c>
      <c r="I13" s="7" t="n">
        <v>10</v>
      </c>
      <c r="J13" s="7" t="n">
        <v>524</v>
      </c>
    </row>
    <row r="14" customFormat="false" ht="15" hidden="false" customHeight="false" outlineLevel="0" collapsed="false">
      <c r="A14" s="2" t="s">
        <v>21</v>
      </c>
      <c r="B14" s="3" t="n">
        <v>46041</v>
      </c>
      <c r="C14" s="3" t="n">
        <v>46047</v>
      </c>
      <c r="D14" s="2" t="s">
        <v>11</v>
      </c>
      <c r="E14" s="2" t="s">
        <v>12</v>
      </c>
      <c r="F14" s="4" t="n">
        <v>1155</v>
      </c>
      <c r="G14" s="4" t="n">
        <v>43039</v>
      </c>
      <c r="H14" s="4" t="n">
        <v>2210</v>
      </c>
      <c r="I14" s="4" t="n">
        <v>75</v>
      </c>
      <c r="J14" s="4" t="n">
        <v>4790</v>
      </c>
    </row>
    <row r="15" customFormat="false" ht="15" hidden="false" customHeight="false" outlineLevel="0" collapsed="false">
      <c r="A15" s="5" t="s">
        <v>21</v>
      </c>
      <c r="B15" s="6" t="n">
        <v>46041</v>
      </c>
      <c r="C15" s="6" t="n">
        <v>46047</v>
      </c>
      <c r="D15" s="5" t="s">
        <v>13</v>
      </c>
      <c r="E15" s="5" t="s">
        <v>14</v>
      </c>
      <c r="F15" s="7" t="n">
        <v>1582</v>
      </c>
      <c r="G15" s="7" t="n">
        <v>195998</v>
      </c>
      <c r="H15" s="7" t="n">
        <v>2706</v>
      </c>
      <c r="I15" s="7" t="n">
        <v>61</v>
      </c>
      <c r="J15" s="7" t="n">
        <v>2711</v>
      </c>
    </row>
    <row r="16" customFormat="false" ht="15" hidden="false" customHeight="false" outlineLevel="0" collapsed="false">
      <c r="A16" s="2" t="s">
        <v>21</v>
      </c>
      <c r="B16" s="3" t="n">
        <v>46041</v>
      </c>
      <c r="C16" s="3" t="n">
        <v>46047</v>
      </c>
      <c r="D16" s="2" t="s">
        <v>15</v>
      </c>
      <c r="E16" s="2" t="s">
        <v>16</v>
      </c>
      <c r="F16" s="4" t="n">
        <v>633</v>
      </c>
      <c r="G16" s="4" t="n">
        <v>383092</v>
      </c>
      <c r="H16" s="4" t="n">
        <v>1872</v>
      </c>
      <c r="I16" s="4" t="n">
        <v>27</v>
      </c>
      <c r="J16" s="4" t="n">
        <v>1098</v>
      </c>
    </row>
    <row r="17" customFormat="false" ht="15" hidden="false" customHeight="false" outlineLevel="0" collapsed="false">
      <c r="A17" s="5" t="s">
        <v>21</v>
      </c>
      <c r="B17" s="6" t="n">
        <v>46041</v>
      </c>
      <c r="C17" s="6" t="n">
        <v>46047</v>
      </c>
      <c r="D17" s="5" t="s">
        <v>17</v>
      </c>
      <c r="E17" s="5" t="s">
        <v>14</v>
      </c>
      <c r="F17" s="7" t="n">
        <v>586</v>
      </c>
      <c r="G17" s="7" t="n">
        <v>55733</v>
      </c>
      <c r="H17" s="7" t="n">
        <v>1435</v>
      </c>
      <c r="I17" s="7" t="n">
        <v>46</v>
      </c>
      <c r="J17" s="7" t="n">
        <v>2535</v>
      </c>
    </row>
    <row r="18" customFormat="false" ht="15" hidden="false" customHeight="false" outlineLevel="0" collapsed="false">
      <c r="A18" s="2" t="s">
        <v>21</v>
      </c>
      <c r="B18" s="3" t="n">
        <v>46041</v>
      </c>
      <c r="C18" s="3" t="n">
        <v>46047</v>
      </c>
      <c r="D18" s="2" t="s">
        <v>18</v>
      </c>
      <c r="E18" s="2" t="s">
        <v>12</v>
      </c>
      <c r="F18" s="4" t="n">
        <v>1253</v>
      </c>
      <c r="G18" s="4" t="n">
        <v>64756</v>
      </c>
      <c r="H18" s="4" t="n">
        <v>2613</v>
      </c>
      <c r="I18" s="4" t="n">
        <v>102</v>
      </c>
      <c r="J18" s="4" t="n">
        <v>5114</v>
      </c>
    </row>
    <row r="19" customFormat="false" ht="15" hidden="false" customHeight="false" outlineLevel="0" collapsed="false">
      <c r="A19" s="5" t="s">
        <v>21</v>
      </c>
      <c r="B19" s="6" t="n">
        <v>46041</v>
      </c>
      <c r="C19" s="6" t="n">
        <v>46047</v>
      </c>
      <c r="D19" s="5" t="s">
        <v>19</v>
      </c>
      <c r="E19" s="5" t="s">
        <v>14</v>
      </c>
      <c r="F19" s="7" t="n">
        <v>453</v>
      </c>
      <c r="G19" s="7" t="n">
        <v>168224</v>
      </c>
      <c r="H19" s="7" t="n">
        <v>706</v>
      </c>
      <c r="I19" s="7" t="n">
        <v>10</v>
      </c>
      <c r="J19" s="7" t="n">
        <v>452</v>
      </c>
    </row>
    <row r="20" customFormat="false" ht="15" hidden="false" customHeight="false" outlineLevel="0" collapsed="false">
      <c r="A20" s="2" t="s">
        <v>22</v>
      </c>
      <c r="B20" s="3" t="n">
        <v>46048</v>
      </c>
      <c r="C20" s="3" t="n">
        <v>46054</v>
      </c>
      <c r="D20" s="2" t="s">
        <v>11</v>
      </c>
      <c r="E20" s="2" t="s">
        <v>12</v>
      </c>
      <c r="F20" s="4" t="n">
        <v>820</v>
      </c>
      <c r="G20" s="4" t="n">
        <v>42839</v>
      </c>
      <c r="H20" s="4" t="n">
        <v>2410</v>
      </c>
      <c r="I20" s="4" t="n">
        <v>68</v>
      </c>
      <c r="J20" s="4" t="n">
        <v>3500</v>
      </c>
    </row>
    <row r="21" customFormat="false" ht="15" hidden="false" customHeight="false" outlineLevel="0" collapsed="false">
      <c r="A21" s="5" t="s">
        <v>22</v>
      </c>
      <c r="B21" s="6" t="n">
        <v>46048</v>
      </c>
      <c r="C21" s="6" t="n">
        <v>46054</v>
      </c>
      <c r="D21" s="5" t="s">
        <v>13</v>
      </c>
      <c r="E21" s="5" t="s">
        <v>14</v>
      </c>
      <c r="F21" s="7" t="n">
        <v>1361</v>
      </c>
      <c r="G21" s="7" t="n">
        <v>261966</v>
      </c>
      <c r="H21" s="7" t="n">
        <v>3352</v>
      </c>
      <c r="I21" s="7" t="n">
        <v>78</v>
      </c>
      <c r="J21" s="7" t="n">
        <v>3405</v>
      </c>
    </row>
    <row r="22" customFormat="false" ht="15" hidden="false" customHeight="false" outlineLevel="0" collapsed="false">
      <c r="A22" s="2" t="s">
        <v>22</v>
      </c>
      <c r="B22" s="3" t="n">
        <v>46048</v>
      </c>
      <c r="C22" s="3" t="n">
        <v>46054</v>
      </c>
      <c r="D22" s="2" t="s">
        <v>15</v>
      </c>
      <c r="E22" s="2" t="s">
        <v>16</v>
      </c>
      <c r="F22" s="4" t="n">
        <v>577</v>
      </c>
      <c r="G22" s="4" t="n">
        <v>354652</v>
      </c>
      <c r="H22" s="4" t="n">
        <v>1748</v>
      </c>
      <c r="I22" s="4" t="n">
        <v>30</v>
      </c>
      <c r="J22" s="4" t="n">
        <v>940</v>
      </c>
    </row>
    <row r="23" customFormat="false" ht="15" hidden="false" customHeight="false" outlineLevel="0" collapsed="false">
      <c r="A23" s="5" t="s">
        <v>22</v>
      </c>
      <c r="B23" s="6" t="n">
        <v>46048</v>
      </c>
      <c r="C23" s="6" t="n">
        <v>46054</v>
      </c>
      <c r="D23" s="5" t="s">
        <v>17</v>
      </c>
      <c r="E23" s="5" t="s">
        <v>14</v>
      </c>
      <c r="F23" s="7" t="n">
        <v>645</v>
      </c>
      <c r="G23" s="7" t="n">
        <v>40637</v>
      </c>
      <c r="H23" s="7" t="n">
        <v>1421</v>
      </c>
      <c r="I23" s="7" t="n">
        <v>50</v>
      </c>
      <c r="J23" s="7" t="n">
        <v>3316</v>
      </c>
    </row>
    <row r="24" customFormat="false" ht="15" hidden="false" customHeight="false" outlineLevel="0" collapsed="false">
      <c r="A24" s="2" t="s">
        <v>22</v>
      </c>
      <c r="B24" s="3" t="n">
        <v>46048</v>
      </c>
      <c r="C24" s="3" t="n">
        <v>46054</v>
      </c>
      <c r="D24" s="2" t="s">
        <v>18</v>
      </c>
      <c r="E24" s="2" t="s">
        <v>12</v>
      </c>
      <c r="F24" s="4" t="n">
        <v>1404</v>
      </c>
      <c r="G24" s="4" t="n">
        <v>64774</v>
      </c>
      <c r="H24" s="4" t="n">
        <v>2530</v>
      </c>
      <c r="I24" s="4" t="n">
        <v>77</v>
      </c>
      <c r="J24" s="4" t="n">
        <v>6185</v>
      </c>
    </row>
    <row r="25" customFormat="false" ht="15" hidden="false" customHeight="false" outlineLevel="0" collapsed="false">
      <c r="A25" s="5" t="s">
        <v>22</v>
      </c>
      <c r="B25" s="6" t="n">
        <v>46048</v>
      </c>
      <c r="C25" s="6" t="n">
        <v>46054</v>
      </c>
      <c r="D25" s="5" t="s">
        <v>19</v>
      </c>
      <c r="E25" s="5" t="s">
        <v>14</v>
      </c>
      <c r="F25" s="7" t="n">
        <v>584</v>
      </c>
      <c r="G25" s="7" t="n">
        <v>129634</v>
      </c>
      <c r="H25" s="7" t="n">
        <v>742</v>
      </c>
      <c r="I25" s="7" t="n">
        <v>12</v>
      </c>
      <c r="J25" s="7" t="n">
        <v>475</v>
      </c>
    </row>
    <row r="26" customFormat="false" ht="15" hidden="false" customHeight="false" outlineLevel="0" collapsed="false">
      <c r="A26" s="2" t="s">
        <v>23</v>
      </c>
      <c r="B26" s="3" t="n">
        <v>46055</v>
      </c>
      <c r="C26" s="3" t="n">
        <v>46061</v>
      </c>
      <c r="D26" s="2" t="s">
        <v>11</v>
      </c>
      <c r="E26" s="2" t="s">
        <v>12</v>
      </c>
      <c r="F26" s="4" t="n">
        <v>1068</v>
      </c>
      <c r="G26" s="4" t="n">
        <v>41430</v>
      </c>
      <c r="H26" s="4" t="n">
        <v>2398</v>
      </c>
      <c r="I26" s="4" t="n">
        <v>71</v>
      </c>
      <c r="J26" s="4" t="n">
        <v>3395</v>
      </c>
    </row>
    <row r="27" customFormat="false" ht="15" hidden="false" customHeight="false" outlineLevel="0" collapsed="false">
      <c r="A27" s="5" t="s">
        <v>23</v>
      </c>
      <c r="B27" s="6" t="n">
        <v>46055</v>
      </c>
      <c r="C27" s="6" t="n">
        <v>46061</v>
      </c>
      <c r="D27" s="5" t="s">
        <v>13</v>
      </c>
      <c r="E27" s="5" t="s">
        <v>14</v>
      </c>
      <c r="F27" s="7" t="n">
        <v>1329</v>
      </c>
      <c r="G27" s="7" t="n">
        <v>177974</v>
      </c>
      <c r="H27" s="7" t="n">
        <v>3872</v>
      </c>
      <c r="I27" s="7" t="n">
        <v>76</v>
      </c>
      <c r="J27" s="7" t="n">
        <v>3371</v>
      </c>
    </row>
    <row r="28" customFormat="false" ht="15" hidden="false" customHeight="false" outlineLevel="0" collapsed="false">
      <c r="A28" s="2" t="s">
        <v>23</v>
      </c>
      <c r="B28" s="3" t="n">
        <v>46055</v>
      </c>
      <c r="C28" s="3" t="n">
        <v>46061</v>
      </c>
      <c r="D28" s="2" t="s">
        <v>15</v>
      </c>
      <c r="E28" s="2" t="s">
        <v>16</v>
      </c>
      <c r="F28" s="4" t="n">
        <v>660</v>
      </c>
      <c r="G28" s="4" t="n">
        <v>269814</v>
      </c>
      <c r="H28" s="4" t="n">
        <v>1873</v>
      </c>
      <c r="I28" s="4" t="n">
        <v>34</v>
      </c>
      <c r="J28" s="4" t="n">
        <v>867</v>
      </c>
    </row>
    <row r="29" customFormat="false" ht="15" hidden="false" customHeight="false" outlineLevel="0" collapsed="false">
      <c r="A29" s="5" t="s">
        <v>23</v>
      </c>
      <c r="B29" s="6" t="n">
        <v>46055</v>
      </c>
      <c r="C29" s="6" t="n">
        <v>46061</v>
      </c>
      <c r="D29" s="5" t="s">
        <v>17</v>
      </c>
      <c r="E29" s="5" t="s">
        <v>14</v>
      </c>
      <c r="F29" s="7" t="n">
        <v>608</v>
      </c>
      <c r="G29" s="7" t="n">
        <v>39841</v>
      </c>
      <c r="H29" s="7" t="n">
        <v>1607</v>
      </c>
      <c r="I29" s="7" t="n">
        <v>56</v>
      </c>
      <c r="J29" s="7" t="n">
        <v>2404</v>
      </c>
    </row>
    <row r="30" customFormat="false" ht="15" hidden="false" customHeight="false" outlineLevel="0" collapsed="false">
      <c r="A30" s="2" t="s">
        <v>23</v>
      </c>
      <c r="B30" s="3" t="n">
        <v>46055</v>
      </c>
      <c r="C30" s="3" t="n">
        <v>46061</v>
      </c>
      <c r="D30" s="2" t="s">
        <v>18</v>
      </c>
      <c r="E30" s="2" t="s">
        <v>12</v>
      </c>
      <c r="F30" s="4" t="n">
        <v>1212</v>
      </c>
      <c r="G30" s="4" t="n">
        <v>72794</v>
      </c>
      <c r="H30" s="4" t="n">
        <v>2296</v>
      </c>
      <c r="I30" s="4" t="n">
        <v>101</v>
      </c>
      <c r="J30" s="4" t="n">
        <v>5163</v>
      </c>
    </row>
    <row r="31" customFormat="false" ht="15" hidden="false" customHeight="false" outlineLevel="0" collapsed="false">
      <c r="A31" s="5" t="s">
        <v>23</v>
      </c>
      <c r="B31" s="6" t="n">
        <v>46055</v>
      </c>
      <c r="C31" s="6" t="n">
        <v>46061</v>
      </c>
      <c r="D31" s="5" t="s">
        <v>19</v>
      </c>
      <c r="E31" s="5" t="s">
        <v>14</v>
      </c>
      <c r="F31" s="7" t="n">
        <v>452</v>
      </c>
      <c r="G31" s="7" t="n">
        <v>142929</v>
      </c>
      <c r="H31" s="7" t="n">
        <v>767</v>
      </c>
      <c r="I31" s="7" t="n">
        <v>10</v>
      </c>
      <c r="J31" s="7" t="n">
        <v>510</v>
      </c>
    </row>
    <row r="32" customFormat="false" ht="15" hidden="false" customHeight="false" outlineLevel="0" collapsed="false">
      <c r="A32" s="2" t="s">
        <v>24</v>
      </c>
      <c r="B32" s="3" t="n">
        <v>46062</v>
      </c>
      <c r="C32" s="3" t="n">
        <v>46068</v>
      </c>
      <c r="D32" s="2" t="s">
        <v>11</v>
      </c>
      <c r="E32" s="2" t="s">
        <v>12</v>
      </c>
      <c r="F32" s="4" t="n">
        <v>1157</v>
      </c>
      <c r="G32" s="4" t="n">
        <v>43198</v>
      </c>
      <c r="H32" s="4" t="n">
        <v>2109</v>
      </c>
      <c r="I32" s="4" t="n">
        <v>70</v>
      </c>
      <c r="J32" s="4" t="n">
        <v>3595</v>
      </c>
    </row>
    <row r="33" customFormat="false" ht="15" hidden="false" customHeight="false" outlineLevel="0" collapsed="false">
      <c r="A33" s="5" t="s">
        <v>24</v>
      </c>
      <c r="B33" s="6" t="n">
        <v>46062</v>
      </c>
      <c r="C33" s="6" t="n">
        <v>46068</v>
      </c>
      <c r="D33" s="5" t="s">
        <v>13</v>
      </c>
      <c r="E33" s="5" t="s">
        <v>14</v>
      </c>
      <c r="F33" s="7" t="n">
        <v>1273</v>
      </c>
      <c r="G33" s="7" t="n">
        <v>205375</v>
      </c>
      <c r="H33" s="7" t="n">
        <v>3429</v>
      </c>
      <c r="I33" s="7" t="n">
        <v>59</v>
      </c>
      <c r="J33" s="7" t="n">
        <v>2656</v>
      </c>
    </row>
    <row r="34" customFormat="false" ht="15" hidden="false" customHeight="false" outlineLevel="0" collapsed="false">
      <c r="A34" s="2" t="s">
        <v>24</v>
      </c>
      <c r="B34" s="3" t="n">
        <v>46062</v>
      </c>
      <c r="C34" s="3" t="n">
        <v>46068</v>
      </c>
      <c r="D34" s="2" t="s">
        <v>15</v>
      </c>
      <c r="E34" s="2" t="s">
        <v>16</v>
      </c>
      <c r="F34" s="4" t="n">
        <v>593</v>
      </c>
      <c r="G34" s="4" t="n">
        <v>343181</v>
      </c>
      <c r="H34" s="4" t="n">
        <v>1458</v>
      </c>
      <c r="I34" s="4" t="n">
        <v>34</v>
      </c>
      <c r="J34" s="4" t="n">
        <v>1181</v>
      </c>
    </row>
    <row r="35" customFormat="false" ht="15" hidden="false" customHeight="false" outlineLevel="0" collapsed="false">
      <c r="A35" s="5" t="s">
        <v>24</v>
      </c>
      <c r="B35" s="6" t="n">
        <v>46062</v>
      </c>
      <c r="C35" s="6" t="n">
        <v>46068</v>
      </c>
      <c r="D35" s="5" t="s">
        <v>17</v>
      </c>
      <c r="E35" s="5" t="s">
        <v>14</v>
      </c>
      <c r="F35" s="7" t="n">
        <v>509</v>
      </c>
      <c r="G35" s="7" t="n">
        <v>43014</v>
      </c>
      <c r="H35" s="7" t="n">
        <v>1555</v>
      </c>
      <c r="I35" s="7" t="n">
        <v>45</v>
      </c>
      <c r="J35" s="7" t="n">
        <v>2409</v>
      </c>
    </row>
    <row r="36" customFormat="false" ht="15" hidden="false" customHeight="false" outlineLevel="0" collapsed="false">
      <c r="A36" s="2" t="s">
        <v>24</v>
      </c>
      <c r="B36" s="3" t="n">
        <v>46062</v>
      </c>
      <c r="C36" s="3" t="n">
        <v>46068</v>
      </c>
      <c r="D36" s="2" t="s">
        <v>18</v>
      </c>
      <c r="E36" s="2" t="s">
        <v>12</v>
      </c>
      <c r="F36" s="4" t="n">
        <v>1433</v>
      </c>
      <c r="G36" s="4" t="n">
        <v>73389</v>
      </c>
      <c r="H36" s="4" t="n">
        <v>2502</v>
      </c>
      <c r="I36" s="4" t="n">
        <v>98</v>
      </c>
      <c r="J36" s="4" t="n">
        <v>5966</v>
      </c>
    </row>
    <row r="37" customFormat="false" ht="15" hidden="false" customHeight="false" outlineLevel="0" collapsed="false">
      <c r="A37" s="5" t="s">
        <v>24</v>
      </c>
      <c r="B37" s="6" t="n">
        <v>46062</v>
      </c>
      <c r="C37" s="6" t="n">
        <v>46068</v>
      </c>
      <c r="D37" s="5" t="s">
        <v>19</v>
      </c>
      <c r="E37" s="5" t="s">
        <v>14</v>
      </c>
      <c r="F37" s="7" t="n">
        <v>448</v>
      </c>
      <c r="G37" s="7" t="n">
        <v>118510</v>
      </c>
      <c r="H37" s="7" t="n">
        <v>684</v>
      </c>
      <c r="I37" s="7" t="n">
        <v>11</v>
      </c>
      <c r="J37" s="7" t="n">
        <v>543</v>
      </c>
    </row>
    <row r="38" customFormat="false" ht="15" hidden="false" customHeight="false" outlineLevel="0" collapsed="false">
      <c r="A38" s="2" t="s">
        <v>25</v>
      </c>
      <c r="B38" s="3" t="n">
        <v>46069</v>
      </c>
      <c r="C38" s="3" t="n">
        <v>46075</v>
      </c>
      <c r="D38" s="2" t="s">
        <v>11</v>
      </c>
      <c r="E38" s="2" t="s">
        <v>12</v>
      </c>
      <c r="F38" s="4" t="n">
        <v>1056</v>
      </c>
      <c r="G38" s="4" t="n">
        <v>43573</v>
      </c>
      <c r="H38" s="4" t="n">
        <v>2572</v>
      </c>
      <c r="I38" s="4" t="n">
        <v>59</v>
      </c>
      <c r="J38" s="4" t="n">
        <v>4061</v>
      </c>
    </row>
    <row r="39" customFormat="false" ht="15" hidden="false" customHeight="false" outlineLevel="0" collapsed="false">
      <c r="A39" s="5" t="s">
        <v>25</v>
      </c>
      <c r="B39" s="6" t="n">
        <v>46069</v>
      </c>
      <c r="C39" s="6" t="n">
        <v>46075</v>
      </c>
      <c r="D39" s="5" t="s">
        <v>13</v>
      </c>
      <c r="E39" s="5" t="s">
        <v>14</v>
      </c>
      <c r="F39" s="7" t="n">
        <v>1338</v>
      </c>
      <c r="G39" s="7" t="n">
        <v>250403</v>
      </c>
      <c r="H39" s="7" t="n">
        <v>2988</v>
      </c>
      <c r="I39" s="7" t="n">
        <v>58</v>
      </c>
      <c r="J39" s="7" t="n">
        <v>2923</v>
      </c>
    </row>
    <row r="40" customFormat="false" ht="15" hidden="false" customHeight="false" outlineLevel="0" collapsed="false">
      <c r="A40" s="2" t="s">
        <v>25</v>
      </c>
      <c r="B40" s="3" t="n">
        <v>46069</v>
      </c>
      <c r="C40" s="3" t="n">
        <v>46075</v>
      </c>
      <c r="D40" s="2" t="s">
        <v>15</v>
      </c>
      <c r="E40" s="2" t="s">
        <v>16</v>
      </c>
      <c r="F40" s="4" t="n">
        <v>692</v>
      </c>
      <c r="G40" s="4" t="n">
        <v>298053</v>
      </c>
      <c r="H40" s="4" t="n">
        <v>1471</v>
      </c>
      <c r="I40" s="4" t="n">
        <v>34</v>
      </c>
      <c r="J40" s="4" t="n">
        <v>1012</v>
      </c>
    </row>
    <row r="41" customFormat="false" ht="15" hidden="false" customHeight="false" outlineLevel="0" collapsed="false">
      <c r="A41" s="5" t="s">
        <v>25</v>
      </c>
      <c r="B41" s="6" t="n">
        <v>46069</v>
      </c>
      <c r="C41" s="6" t="n">
        <v>46075</v>
      </c>
      <c r="D41" s="5" t="s">
        <v>17</v>
      </c>
      <c r="E41" s="5" t="s">
        <v>14</v>
      </c>
      <c r="F41" s="7" t="n">
        <v>698</v>
      </c>
      <c r="G41" s="7" t="n">
        <v>48886</v>
      </c>
      <c r="H41" s="7" t="n">
        <v>1201</v>
      </c>
      <c r="I41" s="7" t="n">
        <v>60</v>
      </c>
      <c r="J41" s="7" t="n">
        <v>3186</v>
      </c>
    </row>
    <row r="42" customFormat="false" ht="15" hidden="false" customHeight="false" outlineLevel="0" collapsed="false">
      <c r="A42" s="2" t="s">
        <v>25</v>
      </c>
      <c r="B42" s="3" t="n">
        <v>46069</v>
      </c>
      <c r="C42" s="3" t="n">
        <v>46075</v>
      </c>
      <c r="D42" s="2" t="s">
        <v>18</v>
      </c>
      <c r="E42" s="2" t="s">
        <v>12</v>
      </c>
      <c r="F42" s="4" t="n">
        <v>1449</v>
      </c>
      <c r="G42" s="4" t="n">
        <v>83338</v>
      </c>
      <c r="H42" s="4" t="n">
        <v>2875</v>
      </c>
      <c r="I42" s="4" t="n">
        <v>77</v>
      </c>
      <c r="J42" s="4" t="n">
        <v>5294</v>
      </c>
    </row>
    <row r="43" customFormat="false" ht="15" hidden="false" customHeight="false" outlineLevel="0" collapsed="false">
      <c r="A43" s="5" t="s">
        <v>25</v>
      </c>
      <c r="B43" s="6" t="n">
        <v>46069</v>
      </c>
      <c r="C43" s="6" t="n">
        <v>46075</v>
      </c>
      <c r="D43" s="5" t="s">
        <v>19</v>
      </c>
      <c r="E43" s="5" t="s">
        <v>14</v>
      </c>
      <c r="F43" s="7" t="n">
        <v>452</v>
      </c>
      <c r="G43" s="7" t="n">
        <v>135297</v>
      </c>
      <c r="H43" s="7" t="n">
        <v>581</v>
      </c>
      <c r="I43" s="7" t="n">
        <v>11</v>
      </c>
      <c r="J43" s="7" t="n">
        <v>655</v>
      </c>
    </row>
    <row r="44" customFormat="false" ht="15" hidden="false" customHeight="false" outlineLevel="0" collapsed="false">
      <c r="A44" s="2" t="s">
        <v>26</v>
      </c>
      <c r="B44" s="3" t="n">
        <v>46076</v>
      </c>
      <c r="C44" s="3" t="n">
        <v>46082</v>
      </c>
      <c r="D44" s="2" t="s">
        <v>11</v>
      </c>
      <c r="E44" s="2" t="s">
        <v>12</v>
      </c>
      <c r="F44" s="4" t="n">
        <v>879</v>
      </c>
      <c r="G44" s="4" t="n">
        <v>45345</v>
      </c>
      <c r="H44" s="4" t="n">
        <v>2124</v>
      </c>
      <c r="I44" s="4" t="n">
        <v>68</v>
      </c>
      <c r="J44" s="4" t="n">
        <v>4980</v>
      </c>
    </row>
    <row r="45" customFormat="false" ht="15" hidden="false" customHeight="false" outlineLevel="0" collapsed="false">
      <c r="A45" s="5" t="s">
        <v>26</v>
      </c>
      <c r="B45" s="6" t="n">
        <v>46076</v>
      </c>
      <c r="C45" s="6" t="n">
        <v>46082</v>
      </c>
      <c r="D45" s="5" t="s">
        <v>13</v>
      </c>
      <c r="E45" s="5" t="s">
        <v>14</v>
      </c>
      <c r="F45" s="7" t="n">
        <v>1705</v>
      </c>
      <c r="G45" s="7" t="n">
        <v>224096</v>
      </c>
      <c r="H45" s="7" t="n">
        <v>3598</v>
      </c>
      <c r="I45" s="7" t="n">
        <v>57</v>
      </c>
      <c r="J45" s="7" t="n">
        <v>2745</v>
      </c>
    </row>
    <row r="46" customFormat="false" ht="15" hidden="false" customHeight="false" outlineLevel="0" collapsed="false">
      <c r="A46" s="2" t="s">
        <v>26</v>
      </c>
      <c r="B46" s="3" t="n">
        <v>46076</v>
      </c>
      <c r="C46" s="3" t="n">
        <v>46082</v>
      </c>
      <c r="D46" s="2" t="s">
        <v>15</v>
      </c>
      <c r="E46" s="2" t="s">
        <v>16</v>
      </c>
      <c r="F46" s="4" t="n">
        <v>845</v>
      </c>
      <c r="G46" s="4" t="n">
        <v>336535</v>
      </c>
      <c r="H46" s="4" t="n">
        <v>1659</v>
      </c>
      <c r="I46" s="4" t="n">
        <v>32</v>
      </c>
      <c r="J46" s="4" t="n">
        <v>855</v>
      </c>
    </row>
    <row r="47" customFormat="false" ht="15" hidden="false" customHeight="false" outlineLevel="0" collapsed="false">
      <c r="A47" s="5" t="s">
        <v>26</v>
      </c>
      <c r="B47" s="6" t="n">
        <v>46076</v>
      </c>
      <c r="C47" s="6" t="n">
        <v>46082</v>
      </c>
      <c r="D47" s="5" t="s">
        <v>17</v>
      </c>
      <c r="E47" s="5" t="s">
        <v>14</v>
      </c>
      <c r="F47" s="7" t="n">
        <v>632</v>
      </c>
      <c r="G47" s="7" t="n">
        <v>47993</v>
      </c>
      <c r="H47" s="7" t="n">
        <v>1660</v>
      </c>
      <c r="I47" s="7" t="n">
        <v>44</v>
      </c>
      <c r="J47" s="7" t="n">
        <v>3323</v>
      </c>
    </row>
    <row r="48" customFormat="false" ht="15" hidden="false" customHeight="false" outlineLevel="0" collapsed="false">
      <c r="A48" s="2" t="s">
        <v>26</v>
      </c>
      <c r="B48" s="3" t="n">
        <v>46076</v>
      </c>
      <c r="C48" s="3" t="n">
        <v>46082</v>
      </c>
      <c r="D48" s="2" t="s">
        <v>18</v>
      </c>
      <c r="E48" s="2" t="s">
        <v>12</v>
      </c>
      <c r="F48" s="4" t="n">
        <v>1022</v>
      </c>
      <c r="G48" s="4" t="n">
        <v>62603</v>
      </c>
      <c r="H48" s="4" t="n">
        <v>2623</v>
      </c>
      <c r="I48" s="4" t="n">
        <v>94</v>
      </c>
      <c r="J48" s="4" t="n">
        <v>4771</v>
      </c>
    </row>
    <row r="49" customFormat="false" ht="15" hidden="false" customHeight="false" outlineLevel="0" collapsed="false">
      <c r="A49" s="5" t="s">
        <v>26</v>
      </c>
      <c r="B49" s="6" t="n">
        <v>46076</v>
      </c>
      <c r="C49" s="6" t="n">
        <v>46082</v>
      </c>
      <c r="D49" s="5" t="s">
        <v>19</v>
      </c>
      <c r="E49" s="5" t="s">
        <v>14</v>
      </c>
      <c r="F49" s="7" t="n">
        <v>433</v>
      </c>
      <c r="G49" s="7" t="n">
        <v>162303</v>
      </c>
      <c r="H49" s="7" t="n">
        <v>633</v>
      </c>
      <c r="I49" s="7" t="n">
        <v>12</v>
      </c>
      <c r="J49" s="7" t="n">
        <v>576</v>
      </c>
    </row>
    <row r="50" customFormat="false" ht="15" hidden="false" customHeight="false" outlineLevel="0" collapsed="false">
      <c r="A50" s="2" t="s">
        <v>27</v>
      </c>
      <c r="B50" s="3" t="n">
        <v>46083</v>
      </c>
      <c r="C50" s="3" t="n">
        <v>46089</v>
      </c>
      <c r="D50" s="2" t="s">
        <v>11</v>
      </c>
      <c r="E50" s="2" t="s">
        <v>12</v>
      </c>
      <c r="F50" s="4" t="n">
        <v>938</v>
      </c>
      <c r="G50" s="4" t="n">
        <v>42138</v>
      </c>
      <c r="H50" s="4" t="n">
        <v>2181</v>
      </c>
      <c r="I50" s="4" t="n">
        <v>82</v>
      </c>
      <c r="J50" s="4" t="n">
        <v>3733</v>
      </c>
    </row>
    <row r="51" customFormat="false" ht="15" hidden="false" customHeight="false" outlineLevel="0" collapsed="false">
      <c r="A51" s="5" t="s">
        <v>27</v>
      </c>
      <c r="B51" s="6" t="n">
        <v>46083</v>
      </c>
      <c r="C51" s="6" t="n">
        <v>46089</v>
      </c>
      <c r="D51" s="5" t="s">
        <v>13</v>
      </c>
      <c r="E51" s="5" t="s">
        <v>14</v>
      </c>
      <c r="F51" s="7" t="n">
        <v>1549</v>
      </c>
      <c r="G51" s="7" t="n">
        <v>196826</v>
      </c>
      <c r="H51" s="7" t="n">
        <v>3179</v>
      </c>
      <c r="I51" s="7" t="n">
        <v>70</v>
      </c>
      <c r="J51" s="7" t="n">
        <v>2749</v>
      </c>
    </row>
    <row r="52" customFormat="false" ht="15" hidden="false" customHeight="false" outlineLevel="0" collapsed="false">
      <c r="A52" s="2" t="s">
        <v>27</v>
      </c>
      <c r="B52" s="3" t="n">
        <v>46083</v>
      </c>
      <c r="C52" s="3" t="n">
        <v>46089</v>
      </c>
      <c r="D52" s="2" t="s">
        <v>15</v>
      </c>
      <c r="E52" s="2" t="s">
        <v>16</v>
      </c>
      <c r="F52" s="4" t="n">
        <v>662</v>
      </c>
      <c r="G52" s="4" t="n">
        <v>358638</v>
      </c>
      <c r="H52" s="4" t="n">
        <v>1358</v>
      </c>
      <c r="I52" s="4" t="n">
        <v>29</v>
      </c>
      <c r="J52" s="4" t="n">
        <v>1237</v>
      </c>
    </row>
    <row r="53" customFormat="false" ht="15" hidden="false" customHeight="false" outlineLevel="0" collapsed="false">
      <c r="A53" s="5" t="s">
        <v>27</v>
      </c>
      <c r="B53" s="6" t="n">
        <v>46083</v>
      </c>
      <c r="C53" s="6" t="n">
        <v>46089</v>
      </c>
      <c r="D53" s="5" t="s">
        <v>17</v>
      </c>
      <c r="E53" s="5" t="s">
        <v>14</v>
      </c>
      <c r="F53" s="7" t="n">
        <v>731</v>
      </c>
      <c r="G53" s="7" t="n">
        <v>39917</v>
      </c>
      <c r="H53" s="7" t="n">
        <v>1294</v>
      </c>
      <c r="I53" s="7" t="n">
        <v>46</v>
      </c>
      <c r="J53" s="7" t="n">
        <v>3293</v>
      </c>
    </row>
    <row r="54" customFormat="false" ht="15" hidden="false" customHeight="false" outlineLevel="0" collapsed="false">
      <c r="A54" s="2" t="s">
        <v>27</v>
      </c>
      <c r="B54" s="3" t="n">
        <v>46083</v>
      </c>
      <c r="C54" s="3" t="n">
        <v>46089</v>
      </c>
      <c r="D54" s="2" t="s">
        <v>18</v>
      </c>
      <c r="E54" s="2" t="s">
        <v>12</v>
      </c>
      <c r="F54" s="4" t="n">
        <v>1406</v>
      </c>
      <c r="G54" s="4" t="n">
        <v>82019</v>
      </c>
      <c r="H54" s="4" t="n">
        <v>2400</v>
      </c>
      <c r="I54" s="4" t="n">
        <v>76</v>
      </c>
      <c r="J54" s="4" t="n">
        <v>6021</v>
      </c>
    </row>
    <row r="55" customFormat="false" ht="15" hidden="false" customHeight="false" outlineLevel="0" collapsed="false">
      <c r="A55" s="5" t="s">
        <v>27</v>
      </c>
      <c r="B55" s="6" t="n">
        <v>46083</v>
      </c>
      <c r="C55" s="6" t="n">
        <v>46089</v>
      </c>
      <c r="D55" s="5" t="s">
        <v>19</v>
      </c>
      <c r="E55" s="5" t="s">
        <v>14</v>
      </c>
      <c r="F55" s="7" t="n">
        <v>550</v>
      </c>
      <c r="G55" s="7" t="n">
        <v>146924</v>
      </c>
      <c r="H55" s="7" t="n">
        <v>838</v>
      </c>
      <c r="I55" s="7" t="n">
        <v>12</v>
      </c>
      <c r="J55" s="7" t="n">
        <v>444</v>
      </c>
    </row>
    <row r="56" customFormat="false" ht="15" hidden="false" customHeight="false" outlineLevel="0" collapsed="false">
      <c r="A56" s="2" t="s">
        <v>28</v>
      </c>
      <c r="B56" s="3" t="n">
        <v>46090</v>
      </c>
      <c r="C56" s="3" t="n">
        <v>46096</v>
      </c>
      <c r="D56" s="2" t="s">
        <v>11</v>
      </c>
      <c r="E56" s="2" t="s">
        <v>12</v>
      </c>
      <c r="F56" s="4" t="n">
        <v>1089</v>
      </c>
      <c r="G56" s="4" t="n">
        <v>37590</v>
      </c>
      <c r="H56" s="4" t="n">
        <v>2300</v>
      </c>
      <c r="I56" s="4" t="n">
        <v>82</v>
      </c>
      <c r="J56" s="4" t="n">
        <v>3617</v>
      </c>
    </row>
    <row r="57" customFormat="false" ht="15" hidden="false" customHeight="false" outlineLevel="0" collapsed="false">
      <c r="A57" s="5" t="s">
        <v>28</v>
      </c>
      <c r="B57" s="6" t="n">
        <v>46090</v>
      </c>
      <c r="C57" s="6" t="n">
        <v>46096</v>
      </c>
      <c r="D57" s="5" t="s">
        <v>13</v>
      </c>
      <c r="E57" s="5" t="s">
        <v>14</v>
      </c>
      <c r="F57" s="7" t="n">
        <v>1212</v>
      </c>
      <c r="G57" s="7" t="n">
        <v>185505</v>
      </c>
      <c r="H57" s="7" t="n">
        <v>3384</v>
      </c>
      <c r="I57" s="7" t="n">
        <v>60</v>
      </c>
      <c r="J57" s="7" t="n">
        <v>3106</v>
      </c>
    </row>
    <row r="58" customFormat="false" ht="15" hidden="false" customHeight="false" outlineLevel="0" collapsed="false">
      <c r="A58" s="2" t="s">
        <v>28</v>
      </c>
      <c r="B58" s="3" t="n">
        <v>46090</v>
      </c>
      <c r="C58" s="3" t="n">
        <v>46096</v>
      </c>
      <c r="D58" s="2" t="s">
        <v>15</v>
      </c>
      <c r="E58" s="2" t="s">
        <v>16</v>
      </c>
      <c r="F58" s="4" t="n">
        <v>774</v>
      </c>
      <c r="G58" s="4" t="n">
        <v>288460</v>
      </c>
      <c r="H58" s="4" t="n">
        <v>1717</v>
      </c>
      <c r="I58" s="4" t="n">
        <v>26</v>
      </c>
      <c r="J58" s="4" t="n">
        <v>1030</v>
      </c>
    </row>
    <row r="59" customFormat="false" ht="15" hidden="false" customHeight="false" outlineLevel="0" collapsed="false">
      <c r="A59" s="5" t="s">
        <v>28</v>
      </c>
      <c r="B59" s="6" t="n">
        <v>46090</v>
      </c>
      <c r="C59" s="6" t="n">
        <v>46096</v>
      </c>
      <c r="D59" s="5" t="s">
        <v>17</v>
      </c>
      <c r="E59" s="5" t="s">
        <v>14</v>
      </c>
      <c r="F59" s="7" t="n">
        <v>709</v>
      </c>
      <c r="G59" s="7" t="n">
        <v>54446</v>
      </c>
      <c r="H59" s="7" t="n">
        <v>1225</v>
      </c>
      <c r="I59" s="7" t="n">
        <v>49</v>
      </c>
      <c r="J59" s="7" t="n">
        <v>2568</v>
      </c>
    </row>
    <row r="60" customFormat="false" ht="15" hidden="false" customHeight="false" outlineLevel="0" collapsed="false">
      <c r="A60" s="2" t="s">
        <v>28</v>
      </c>
      <c r="B60" s="3" t="n">
        <v>46090</v>
      </c>
      <c r="C60" s="3" t="n">
        <v>46096</v>
      </c>
      <c r="D60" s="2" t="s">
        <v>18</v>
      </c>
      <c r="E60" s="2" t="s">
        <v>12</v>
      </c>
      <c r="F60" s="4" t="n">
        <v>985</v>
      </c>
      <c r="G60" s="4" t="n">
        <v>78991</v>
      </c>
      <c r="H60" s="4" t="n">
        <v>2665</v>
      </c>
      <c r="I60" s="4" t="n">
        <v>80</v>
      </c>
      <c r="J60" s="4" t="n">
        <v>5828</v>
      </c>
    </row>
    <row r="61" customFormat="false" ht="15" hidden="false" customHeight="false" outlineLevel="0" collapsed="false">
      <c r="A61" s="5" t="s">
        <v>28</v>
      </c>
      <c r="B61" s="6" t="n">
        <v>46090</v>
      </c>
      <c r="C61" s="6" t="n">
        <v>46096</v>
      </c>
      <c r="D61" s="5" t="s">
        <v>19</v>
      </c>
      <c r="E61" s="5" t="s">
        <v>14</v>
      </c>
      <c r="F61" s="7" t="n">
        <v>520</v>
      </c>
      <c r="G61" s="7" t="n">
        <v>136768</v>
      </c>
      <c r="H61" s="7" t="n">
        <v>568</v>
      </c>
      <c r="I61" s="7" t="n">
        <v>10</v>
      </c>
      <c r="J61" s="7" t="n">
        <v>633</v>
      </c>
    </row>
    <row r="62" customFormat="false" ht="15" hidden="false" customHeight="false" outlineLevel="0" collapsed="false">
      <c r="A62" s="2" t="s">
        <v>29</v>
      </c>
      <c r="B62" s="3" t="n">
        <v>46097</v>
      </c>
      <c r="C62" s="3" t="n">
        <v>46103</v>
      </c>
      <c r="D62" s="2" t="s">
        <v>11</v>
      </c>
      <c r="E62" s="2" t="s">
        <v>12</v>
      </c>
      <c r="F62" s="4" t="n">
        <v>1122</v>
      </c>
      <c r="G62" s="4" t="n">
        <v>41529</v>
      </c>
      <c r="H62" s="4" t="n">
        <v>2446</v>
      </c>
      <c r="I62" s="4" t="n">
        <v>72</v>
      </c>
      <c r="J62" s="4" t="n">
        <v>3640</v>
      </c>
    </row>
    <row r="63" customFormat="false" ht="15" hidden="false" customHeight="false" outlineLevel="0" collapsed="false">
      <c r="A63" s="5" t="s">
        <v>29</v>
      </c>
      <c r="B63" s="6" t="n">
        <v>46097</v>
      </c>
      <c r="C63" s="6" t="n">
        <v>46103</v>
      </c>
      <c r="D63" s="5" t="s">
        <v>13</v>
      </c>
      <c r="E63" s="5" t="s">
        <v>14</v>
      </c>
      <c r="F63" s="7" t="n">
        <v>1219</v>
      </c>
      <c r="G63" s="7" t="n">
        <v>202810</v>
      </c>
      <c r="H63" s="7" t="n">
        <v>3833</v>
      </c>
      <c r="I63" s="7" t="n">
        <v>73</v>
      </c>
      <c r="J63" s="7" t="n">
        <v>3405</v>
      </c>
    </row>
    <row r="64" customFormat="false" ht="15" hidden="false" customHeight="false" outlineLevel="0" collapsed="false">
      <c r="A64" s="2" t="s">
        <v>29</v>
      </c>
      <c r="B64" s="3" t="n">
        <v>46097</v>
      </c>
      <c r="C64" s="3" t="n">
        <v>46103</v>
      </c>
      <c r="D64" s="2" t="s">
        <v>15</v>
      </c>
      <c r="E64" s="2" t="s">
        <v>16</v>
      </c>
      <c r="F64" s="4" t="n">
        <v>825</v>
      </c>
      <c r="G64" s="4" t="n">
        <v>289289</v>
      </c>
      <c r="H64" s="4" t="n">
        <v>1471</v>
      </c>
      <c r="I64" s="4" t="n">
        <v>24</v>
      </c>
      <c r="J64" s="4" t="n">
        <v>1149</v>
      </c>
    </row>
    <row r="65" customFormat="false" ht="15" hidden="false" customHeight="false" outlineLevel="0" collapsed="false">
      <c r="A65" s="5" t="s">
        <v>29</v>
      </c>
      <c r="B65" s="6" t="n">
        <v>46097</v>
      </c>
      <c r="C65" s="6" t="n">
        <v>46103</v>
      </c>
      <c r="D65" s="5" t="s">
        <v>17</v>
      </c>
      <c r="E65" s="5" t="s">
        <v>14</v>
      </c>
      <c r="F65" s="7" t="n">
        <v>704</v>
      </c>
      <c r="G65" s="7" t="n">
        <v>46179</v>
      </c>
      <c r="H65" s="7" t="n">
        <v>1527</v>
      </c>
      <c r="I65" s="7" t="n">
        <v>44</v>
      </c>
      <c r="J65" s="7" t="n">
        <v>3289</v>
      </c>
    </row>
    <row r="66" customFormat="false" ht="15" hidden="false" customHeight="false" outlineLevel="0" collapsed="false">
      <c r="A66" s="2" t="s">
        <v>29</v>
      </c>
      <c r="B66" s="3" t="n">
        <v>46097</v>
      </c>
      <c r="C66" s="3" t="n">
        <v>46103</v>
      </c>
      <c r="D66" s="2" t="s">
        <v>18</v>
      </c>
      <c r="E66" s="2" t="s">
        <v>12</v>
      </c>
      <c r="F66" s="4" t="n">
        <v>1399</v>
      </c>
      <c r="G66" s="4" t="n">
        <v>84733</v>
      </c>
      <c r="H66" s="4" t="n">
        <v>2837</v>
      </c>
      <c r="I66" s="4" t="n">
        <v>102</v>
      </c>
      <c r="J66" s="4" t="n">
        <v>4332</v>
      </c>
    </row>
    <row r="67" customFormat="false" ht="15" hidden="false" customHeight="false" outlineLevel="0" collapsed="false">
      <c r="A67" s="5" t="s">
        <v>29</v>
      </c>
      <c r="B67" s="6" t="n">
        <v>46097</v>
      </c>
      <c r="C67" s="6" t="n">
        <v>46103</v>
      </c>
      <c r="D67" s="5" t="s">
        <v>19</v>
      </c>
      <c r="E67" s="5" t="s">
        <v>14</v>
      </c>
      <c r="F67" s="7" t="n">
        <v>557</v>
      </c>
      <c r="G67" s="7" t="n">
        <v>131496</v>
      </c>
      <c r="H67" s="7" t="n">
        <v>822</v>
      </c>
      <c r="I67" s="7" t="n">
        <v>13</v>
      </c>
      <c r="J67" s="7" t="n">
        <v>629</v>
      </c>
    </row>
    <row r="68" customFormat="false" ht="15" hidden="false" customHeight="false" outlineLevel="0" collapsed="false">
      <c r="A68" s="2" t="s">
        <v>30</v>
      </c>
      <c r="B68" s="3" t="n">
        <v>46104</v>
      </c>
      <c r="C68" s="3" t="n">
        <v>46110</v>
      </c>
      <c r="D68" s="2" t="s">
        <v>11</v>
      </c>
      <c r="E68" s="2" t="s">
        <v>12</v>
      </c>
      <c r="F68" s="4" t="n">
        <v>1087</v>
      </c>
      <c r="G68" s="4" t="n">
        <v>37068</v>
      </c>
      <c r="H68" s="4" t="n">
        <v>2406</v>
      </c>
      <c r="I68" s="4" t="n">
        <v>59</v>
      </c>
      <c r="J68" s="4" t="n">
        <v>4839</v>
      </c>
    </row>
    <row r="69" customFormat="false" ht="15" hidden="false" customHeight="false" outlineLevel="0" collapsed="false">
      <c r="A69" s="5" t="s">
        <v>30</v>
      </c>
      <c r="B69" s="6" t="n">
        <v>46104</v>
      </c>
      <c r="C69" s="6" t="n">
        <v>46110</v>
      </c>
      <c r="D69" s="5" t="s">
        <v>13</v>
      </c>
      <c r="E69" s="5" t="s">
        <v>14</v>
      </c>
      <c r="F69" s="7" t="n">
        <v>1628</v>
      </c>
      <c r="G69" s="7" t="n">
        <v>195429</v>
      </c>
      <c r="H69" s="7" t="n">
        <v>3726</v>
      </c>
      <c r="I69" s="7" t="n">
        <v>65</v>
      </c>
      <c r="J69" s="7" t="n">
        <v>2755</v>
      </c>
    </row>
    <row r="70" customFormat="false" ht="15" hidden="false" customHeight="false" outlineLevel="0" collapsed="false">
      <c r="A70" s="2" t="s">
        <v>30</v>
      </c>
      <c r="B70" s="3" t="n">
        <v>46104</v>
      </c>
      <c r="C70" s="3" t="n">
        <v>46110</v>
      </c>
      <c r="D70" s="2" t="s">
        <v>15</v>
      </c>
      <c r="E70" s="2" t="s">
        <v>16</v>
      </c>
      <c r="F70" s="4" t="n">
        <v>796</v>
      </c>
      <c r="G70" s="4" t="n">
        <v>291532</v>
      </c>
      <c r="H70" s="4" t="n">
        <v>1327</v>
      </c>
      <c r="I70" s="4" t="n">
        <v>26</v>
      </c>
      <c r="J70" s="4" t="n">
        <v>965</v>
      </c>
    </row>
    <row r="71" customFormat="false" ht="15" hidden="false" customHeight="false" outlineLevel="0" collapsed="false">
      <c r="A71" s="5" t="s">
        <v>30</v>
      </c>
      <c r="B71" s="6" t="n">
        <v>46104</v>
      </c>
      <c r="C71" s="6" t="n">
        <v>46110</v>
      </c>
      <c r="D71" s="5" t="s">
        <v>17</v>
      </c>
      <c r="E71" s="5" t="s">
        <v>14</v>
      </c>
      <c r="F71" s="7" t="n">
        <v>699</v>
      </c>
      <c r="G71" s="7" t="n">
        <v>56717</v>
      </c>
      <c r="H71" s="7" t="n">
        <v>1332</v>
      </c>
      <c r="I71" s="7" t="n">
        <v>53</v>
      </c>
      <c r="J71" s="7" t="n">
        <v>2704</v>
      </c>
    </row>
    <row r="72" customFormat="false" ht="15" hidden="false" customHeight="false" outlineLevel="0" collapsed="false">
      <c r="A72" s="2" t="s">
        <v>30</v>
      </c>
      <c r="B72" s="3" t="n">
        <v>46104</v>
      </c>
      <c r="C72" s="3" t="n">
        <v>46110</v>
      </c>
      <c r="D72" s="2" t="s">
        <v>18</v>
      </c>
      <c r="E72" s="2" t="s">
        <v>12</v>
      </c>
      <c r="F72" s="4" t="n">
        <v>1454</v>
      </c>
      <c r="G72" s="4" t="n">
        <v>72414</v>
      </c>
      <c r="H72" s="4" t="n">
        <v>2965</v>
      </c>
      <c r="I72" s="4" t="n">
        <v>75</v>
      </c>
      <c r="J72" s="4" t="n">
        <v>6306</v>
      </c>
    </row>
    <row r="73" customFormat="false" ht="15" hidden="false" customHeight="false" outlineLevel="0" collapsed="false">
      <c r="A73" s="5" t="s">
        <v>30</v>
      </c>
      <c r="B73" s="6" t="n">
        <v>46104</v>
      </c>
      <c r="C73" s="6" t="n">
        <v>46110</v>
      </c>
      <c r="D73" s="5" t="s">
        <v>19</v>
      </c>
      <c r="E73" s="5" t="s">
        <v>14</v>
      </c>
      <c r="F73" s="7" t="n">
        <v>445</v>
      </c>
      <c r="G73" s="7" t="n">
        <v>166291</v>
      </c>
      <c r="H73" s="7" t="n">
        <v>639</v>
      </c>
      <c r="I73" s="7" t="n">
        <v>10</v>
      </c>
      <c r="J73" s="7" t="n">
        <v>536</v>
      </c>
    </row>
    <row r="74" customFormat="false" ht="15" hidden="false" customHeight="false" outlineLevel="0" collapsed="false">
      <c r="A74" s="2" t="s">
        <v>31</v>
      </c>
      <c r="B74" s="3" t="n">
        <v>46111</v>
      </c>
      <c r="C74" s="3" t="n">
        <v>46117</v>
      </c>
      <c r="D74" s="2" t="s">
        <v>11</v>
      </c>
      <c r="E74" s="2" t="s">
        <v>12</v>
      </c>
      <c r="F74" s="4" t="n">
        <v>1055</v>
      </c>
      <c r="G74" s="4" t="n">
        <v>37818</v>
      </c>
      <c r="H74" s="4" t="n">
        <v>2252</v>
      </c>
      <c r="I74" s="4" t="n">
        <v>70</v>
      </c>
      <c r="J74" s="4" t="n">
        <v>4032</v>
      </c>
    </row>
    <row r="75" customFormat="false" ht="15" hidden="false" customHeight="false" outlineLevel="0" collapsed="false">
      <c r="A75" s="5" t="s">
        <v>31</v>
      </c>
      <c r="B75" s="6" t="n">
        <v>46111</v>
      </c>
      <c r="C75" s="6" t="n">
        <v>46117</v>
      </c>
      <c r="D75" s="5" t="s">
        <v>13</v>
      </c>
      <c r="E75" s="5" t="s">
        <v>14</v>
      </c>
      <c r="F75" s="7" t="n">
        <v>1470</v>
      </c>
      <c r="G75" s="7" t="n">
        <v>198206</v>
      </c>
      <c r="H75" s="7" t="n">
        <v>3586</v>
      </c>
      <c r="I75" s="7" t="n">
        <v>53</v>
      </c>
      <c r="J75" s="7" t="n">
        <v>3481</v>
      </c>
    </row>
    <row r="76" customFormat="false" ht="15" hidden="false" customHeight="false" outlineLevel="0" collapsed="false">
      <c r="A76" s="2" t="s">
        <v>31</v>
      </c>
      <c r="B76" s="3" t="n">
        <v>46111</v>
      </c>
      <c r="C76" s="3" t="n">
        <v>46117</v>
      </c>
      <c r="D76" s="2" t="s">
        <v>15</v>
      </c>
      <c r="E76" s="2" t="s">
        <v>16</v>
      </c>
      <c r="F76" s="4" t="n">
        <v>724</v>
      </c>
      <c r="G76" s="4" t="n">
        <v>354487</v>
      </c>
      <c r="H76" s="4" t="n">
        <v>1786</v>
      </c>
      <c r="I76" s="4" t="n">
        <v>31</v>
      </c>
      <c r="J76" s="4" t="n">
        <v>980</v>
      </c>
    </row>
    <row r="77" customFormat="false" ht="15" hidden="false" customHeight="false" outlineLevel="0" collapsed="false">
      <c r="A77" s="5" t="s">
        <v>31</v>
      </c>
      <c r="B77" s="6" t="n">
        <v>46111</v>
      </c>
      <c r="C77" s="6" t="n">
        <v>46117</v>
      </c>
      <c r="D77" s="5" t="s">
        <v>17</v>
      </c>
      <c r="E77" s="5" t="s">
        <v>14</v>
      </c>
      <c r="F77" s="7" t="n">
        <v>508</v>
      </c>
      <c r="G77" s="7" t="n">
        <v>51027</v>
      </c>
      <c r="H77" s="7" t="n">
        <v>1361</v>
      </c>
      <c r="I77" s="7" t="n">
        <v>47</v>
      </c>
      <c r="J77" s="7" t="n">
        <v>3199</v>
      </c>
    </row>
    <row r="78" customFormat="false" ht="15" hidden="false" customHeight="false" outlineLevel="0" collapsed="false">
      <c r="A78" s="2" t="s">
        <v>31</v>
      </c>
      <c r="B78" s="3" t="n">
        <v>46111</v>
      </c>
      <c r="C78" s="3" t="n">
        <v>46117</v>
      </c>
      <c r="D78" s="2" t="s">
        <v>18</v>
      </c>
      <c r="E78" s="2" t="s">
        <v>12</v>
      </c>
      <c r="F78" s="4" t="n">
        <v>1329</v>
      </c>
      <c r="G78" s="4" t="n">
        <v>65809</v>
      </c>
      <c r="H78" s="4" t="n">
        <v>2340</v>
      </c>
      <c r="I78" s="4" t="n">
        <v>85</v>
      </c>
      <c r="J78" s="4" t="n">
        <v>5120</v>
      </c>
    </row>
    <row r="79" customFormat="false" ht="15" hidden="false" customHeight="false" outlineLevel="0" collapsed="false">
      <c r="A79" s="5" t="s">
        <v>31</v>
      </c>
      <c r="B79" s="6" t="n">
        <v>46111</v>
      </c>
      <c r="C79" s="6" t="n">
        <v>46117</v>
      </c>
      <c r="D79" s="5" t="s">
        <v>19</v>
      </c>
      <c r="E79" s="5" t="s">
        <v>14</v>
      </c>
      <c r="F79" s="7" t="n">
        <v>469</v>
      </c>
      <c r="G79" s="7" t="n">
        <v>120186</v>
      </c>
      <c r="H79" s="7" t="n">
        <v>681</v>
      </c>
      <c r="I79" s="7" t="n">
        <v>14</v>
      </c>
      <c r="J79" s="7" t="n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8"/>
  </cols>
  <sheetData>
    <row r="1" customFormat="false" ht="15" hidden="false" customHeight="false" outlineLevel="0" collapsed="false">
      <c r="A1" s="1" t="s">
        <v>32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 t="s">
        <v>36</v>
      </c>
    </row>
    <row r="2" customFormat="false" ht="15" hidden="false" customHeight="false" outlineLevel="0" collapsed="false">
      <c r="A2" s="2" t="s">
        <v>37</v>
      </c>
      <c r="B2" s="2" t="s">
        <v>11</v>
      </c>
      <c r="C2" s="4" t="n">
        <f aca="false">SUMPRODUCT(('Weekly Performance'!B2:B79&gt;="2026-01-05")*('Weekly Performance'!C2:C79&lt;="2026-01-31")*('Weekly Performance'!D2:D79="Brand - Search")*'Weekly Performance'!F2:F79)</f>
        <v>0</v>
      </c>
      <c r="D2" s="4" t="n">
        <f aca="false">SUMPRODUCT(('Weekly Performance'!B2:B79&gt;="2026-01-05")*('Weekly Performance'!C2:C79&lt;="2026-01-31")*('Weekly Performance'!D2:D79="Brand - Search")*'Weekly Performance'!G2:G79)</f>
        <v>0</v>
      </c>
      <c r="E2" s="4" t="n">
        <f aca="false">SUMPRODUCT(('Weekly Performance'!B2:B79&gt;="2026-01-05")*('Weekly Performance'!C2:C79&lt;="2026-01-31")*('Weekly Performance'!D2:D79="Brand - Search")*'Weekly Performance'!H2:H79)</f>
        <v>0</v>
      </c>
      <c r="F2" s="4" t="n">
        <f aca="false">SUMPRODUCT(('Weekly Performance'!B2:B79&gt;="2026-01-05")*('Weekly Performance'!C2:C79&lt;="2026-01-31")*('Weekly Performance'!D2:D79="Brand - Search")*'Weekly Performance'!I2:I79)</f>
        <v>0</v>
      </c>
      <c r="G2" s="4" t="n">
        <f aca="false">SUMPRODUCT(('Weekly Performance'!B2:B79&gt;="2026-01-05")*('Weekly Performance'!C2:C79&lt;="2026-01-31")*('Weekly Performance'!D2:D79="Brand - Search")*'Weekly Performance'!J2:J79)</f>
        <v>0</v>
      </c>
      <c r="H2" s="8" t="str">
        <f aca="false">IF(C2=0,"-",G2/C2)</f>
        <v>-</v>
      </c>
      <c r="I2" s="9" t="str">
        <f aca="false">IF(F2=0,"-",C2/F2)</f>
        <v>-</v>
      </c>
      <c r="J2" s="10" t="str">
        <f aca="false">IF(D2=0,"-",E2/D2)</f>
        <v>-</v>
      </c>
      <c r="K2" s="10" t="str">
        <f aca="false">IF(E2=0,"-",F2/E2)</f>
        <v>-</v>
      </c>
    </row>
    <row r="3" customFormat="false" ht="15" hidden="false" customHeight="false" outlineLevel="0" collapsed="false">
      <c r="A3" s="5" t="s">
        <v>37</v>
      </c>
      <c r="B3" s="5" t="s">
        <v>13</v>
      </c>
      <c r="C3" s="7" t="n">
        <f aca="false">SUMPRODUCT(('Weekly Performance'!B2:B79&gt;="2026-01-05")*('Weekly Performance'!C2:C79&lt;="2026-01-31")*('Weekly Performance'!D2:D79="Social - Instagram")*'Weekly Performance'!F2:F79)</f>
        <v>0</v>
      </c>
      <c r="D3" s="7" t="n">
        <f aca="false">SUMPRODUCT(('Weekly Performance'!B2:B79&gt;="2026-01-05")*('Weekly Performance'!C2:C79&lt;="2026-01-31")*('Weekly Performance'!D2:D79="Social - Instagram")*'Weekly Performance'!G2:G79)</f>
        <v>0</v>
      </c>
      <c r="E3" s="7" t="n">
        <f aca="false">SUMPRODUCT(('Weekly Performance'!B2:B79&gt;="2026-01-05")*('Weekly Performance'!C2:C79&lt;="2026-01-31")*('Weekly Performance'!D2:D79="Social - Instagram")*'Weekly Performance'!H2:H79)</f>
        <v>0</v>
      </c>
      <c r="F3" s="7" t="n">
        <f aca="false">SUMPRODUCT(('Weekly Performance'!B2:B79&gt;="2026-01-05")*('Weekly Performance'!C2:C79&lt;="2026-01-31")*('Weekly Performance'!D2:D79="Social - Instagram")*'Weekly Performance'!I2:I79)</f>
        <v>0</v>
      </c>
      <c r="G3" s="7" t="n">
        <f aca="false">SUMPRODUCT(('Weekly Performance'!B2:B79&gt;="2026-01-05")*('Weekly Performance'!C2:C79&lt;="2026-01-31")*('Weekly Performance'!D2:D79="Social - Instagram")*'Weekly Performance'!J2:J79)</f>
        <v>0</v>
      </c>
      <c r="H3" s="11" t="str">
        <f aca="false">IF(C3=0,"-",G3/C3)</f>
        <v>-</v>
      </c>
      <c r="I3" s="12" t="str">
        <f aca="false">IF(F3=0,"-",C3/F3)</f>
        <v>-</v>
      </c>
      <c r="J3" s="13" t="str">
        <f aca="false">IF(D3=0,"-",E3/D3)</f>
        <v>-</v>
      </c>
      <c r="K3" s="13" t="str">
        <f aca="false">IF(E3=0,"-",F3/E3)</f>
        <v>-</v>
      </c>
    </row>
    <row r="4" customFormat="false" ht="15" hidden="false" customHeight="false" outlineLevel="0" collapsed="false">
      <c r="A4" s="2" t="s">
        <v>37</v>
      </c>
      <c r="B4" s="2" t="s">
        <v>15</v>
      </c>
      <c r="C4" s="4" t="n">
        <f aca="false">SUMPRODUCT(('Weekly Performance'!B2:B79&gt;="2026-01-05")*('Weekly Performance'!C2:C79&lt;="2026-01-31")*('Weekly Performance'!D2:D79="Social - TikTok")*'Weekly Performance'!F2:F79)</f>
        <v>0</v>
      </c>
      <c r="D4" s="4" t="n">
        <f aca="false">SUMPRODUCT(('Weekly Performance'!B2:B79&gt;="2026-01-05")*('Weekly Performance'!C2:C79&lt;="2026-01-31")*('Weekly Performance'!D2:D79="Social - TikTok")*'Weekly Performance'!G2:G79)</f>
        <v>0</v>
      </c>
      <c r="E4" s="4" t="n">
        <f aca="false">SUMPRODUCT(('Weekly Performance'!B2:B79&gt;="2026-01-05")*('Weekly Performance'!C2:C79&lt;="2026-01-31")*('Weekly Performance'!D2:D79="Social - TikTok")*'Weekly Performance'!H2:H79)</f>
        <v>0</v>
      </c>
      <c r="F4" s="4" t="n">
        <f aca="false">SUMPRODUCT(('Weekly Performance'!B2:B79&gt;="2026-01-05")*('Weekly Performance'!C2:C79&lt;="2026-01-31")*('Weekly Performance'!D2:D79="Social - TikTok")*'Weekly Performance'!I2:I79)</f>
        <v>0</v>
      </c>
      <c r="G4" s="4" t="n">
        <f aca="false">SUMPRODUCT(('Weekly Performance'!B2:B79&gt;="2026-01-05")*('Weekly Performance'!C2:C79&lt;="2026-01-31")*('Weekly Performance'!D2:D79="Social - TikTok")*'Weekly Performance'!J2:J79)</f>
        <v>0</v>
      </c>
      <c r="H4" s="8" t="str">
        <f aca="false">IF(C4=0,"-",G4/C4)</f>
        <v>-</v>
      </c>
      <c r="I4" s="9" t="str">
        <f aca="false">IF(F4=0,"-",C4/F4)</f>
        <v>-</v>
      </c>
      <c r="J4" s="10" t="str">
        <f aca="false">IF(D4=0,"-",E4/D4)</f>
        <v>-</v>
      </c>
      <c r="K4" s="10" t="str">
        <f aca="false">IF(E4=0,"-",F4/E4)</f>
        <v>-</v>
      </c>
    </row>
    <row r="5" customFormat="false" ht="15" hidden="false" customHeight="false" outlineLevel="0" collapsed="false">
      <c r="A5" s="5" t="s">
        <v>37</v>
      </c>
      <c r="B5" s="5" t="s">
        <v>17</v>
      </c>
      <c r="C5" s="7" t="n">
        <f aca="false">SUMPRODUCT(('Weekly Performance'!B2:B79&gt;="2026-01-05")*('Weekly Performance'!C2:C79&lt;="2026-01-31")*('Weekly Performance'!D2:D79="Retargeting - Meta")*'Weekly Performance'!F2:F79)</f>
        <v>0</v>
      </c>
      <c r="D5" s="7" t="n">
        <f aca="false">SUMPRODUCT(('Weekly Performance'!B2:B79&gt;="2026-01-05")*('Weekly Performance'!C2:C79&lt;="2026-01-31")*('Weekly Performance'!D2:D79="Retargeting - Meta")*'Weekly Performance'!G2:G79)</f>
        <v>0</v>
      </c>
      <c r="E5" s="7" t="n">
        <f aca="false">SUMPRODUCT(('Weekly Performance'!B2:B79&gt;="2026-01-05")*('Weekly Performance'!C2:C79&lt;="2026-01-31")*('Weekly Performance'!D2:D79="Retargeting - Meta")*'Weekly Performance'!H2:H79)</f>
        <v>0</v>
      </c>
      <c r="F5" s="7" t="n">
        <f aca="false">SUMPRODUCT(('Weekly Performance'!B2:B79&gt;="2026-01-05")*('Weekly Performance'!C2:C79&lt;="2026-01-31")*('Weekly Performance'!D2:D79="Retargeting - Meta")*'Weekly Performance'!I2:I79)</f>
        <v>0</v>
      </c>
      <c r="G5" s="7" t="n">
        <f aca="false">SUMPRODUCT(('Weekly Performance'!B2:B79&gt;="2026-01-05")*('Weekly Performance'!C2:C79&lt;="2026-01-31")*('Weekly Performance'!D2:D79="Retargeting - Meta")*'Weekly Performance'!J2:J79)</f>
        <v>0</v>
      </c>
      <c r="H5" s="11" t="str">
        <f aca="false">IF(C5=0,"-",G5/C5)</f>
        <v>-</v>
      </c>
      <c r="I5" s="12" t="str">
        <f aca="false">IF(F5=0,"-",C5/F5)</f>
        <v>-</v>
      </c>
      <c r="J5" s="13" t="str">
        <f aca="false">IF(D5=0,"-",E5/D5)</f>
        <v>-</v>
      </c>
      <c r="K5" s="13" t="str">
        <f aca="false">IF(E5=0,"-",F5/E5)</f>
        <v>-</v>
      </c>
    </row>
    <row r="6" customFormat="false" ht="15" hidden="false" customHeight="false" outlineLevel="0" collapsed="false">
      <c r="A6" s="2" t="s">
        <v>37</v>
      </c>
      <c r="B6" s="2" t="s">
        <v>18</v>
      </c>
      <c r="C6" s="4" t="n">
        <f aca="false">SUMPRODUCT(('Weekly Performance'!B2:B79&gt;="2026-01-05")*('Weekly Performance'!C2:C79&lt;="2026-01-31")*('Weekly Performance'!D2:D79="Shopping - Google")*'Weekly Performance'!F2:F79)</f>
        <v>0</v>
      </c>
      <c r="D6" s="4" t="n">
        <f aca="false">SUMPRODUCT(('Weekly Performance'!B2:B79&gt;="2026-01-05")*('Weekly Performance'!C2:C79&lt;="2026-01-31")*('Weekly Performance'!D2:D79="Shopping - Google")*'Weekly Performance'!G2:G79)</f>
        <v>0</v>
      </c>
      <c r="E6" s="4" t="n">
        <f aca="false">SUMPRODUCT(('Weekly Performance'!B2:B79&gt;="2026-01-05")*('Weekly Performance'!C2:C79&lt;="2026-01-31")*('Weekly Performance'!D2:D79="Shopping - Google")*'Weekly Performance'!H2:H79)</f>
        <v>0</v>
      </c>
      <c r="F6" s="4" t="n">
        <f aca="false">SUMPRODUCT(('Weekly Performance'!B2:B79&gt;="2026-01-05")*('Weekly Performance'!C2:C79&lt;="2026-01-31")*('Weekly Performance'!D2:D79="Shopping - Google")*'Weekly Performance'!I2:I79)</f>
        <v>0</v>
      </c>
      <c r="G6" s="4" t="n">
        <f aca="false">SUMPRODUCT(('Weekly Performance'!B2:B79&gt;="2026-01-05")*('Weekly Performance'!C2:C79&lt;="2026-01-31")*('Weekly Performance'!D2:D79="Shopping - Google")*'Weekly Performance'!J2:J79)</f>
        <v>0</v>
      </c>
      <c r="H6" s="8" t="str">
        <f aca="false">IF(C6=0,"-",G6/C6)</f>
        <v>-</v>
      </c>
      <c r="I6" s="9" t="str">
        <f aca="false">IF(F6=0,"-",C6/F6)</f>
        <v>-</v>
      </c>
      <c r="J6" s="10" t="str">
        <f aca="false">IF(D6=0,"-",E6/D6)</f>
        <v>-</v>
      </c>
      <c r="K6" s="10" t="str">
        <f aca="false">IF(E6=0,"-",F6/E6)</f>
        <v>-</v>
      </c>
    </row>
    <row r="7" customFormat="false" ht="15" hidden="false" customHeight="false" outlineLevel="0" collapsed="false">
      <c r="A7" s="5" t="s">
        <v>37</v>
      </c>
      <c r="B7" s="5" t="s">
        <v>19</v>
      </c>
      <c r="C7" s="7" t="n">
        <f aca="false">SUMPRODUCT(('Weekly Performance'!B2:B79&gt;="2026-01-05")*('Weekly Performance'!C2:C79&lt;="2026-01-31")*('Weekly Performance'!D2:D79="Influencer Amplification")*'Weekly Performance'!F2:F79)</f>
        <v>0</v>
      </c>
      <c r="D7" s="7" t="n">
        <f aca="false">SUMPRODUCT(('Weekly Performance'!B2:B79&gt;="2026-01-05")*('Weekly Performance'!C2:C79&lt;="2026-01-31")*('Weekly Performance'!D2:D79="Influencer Amplification")*'Weekly Performance'!G2:G79)</f>
        <v>0</v>
      </c>
      <c r="E7" s="7" t="n">
        <f aca="false">SUMPRODUCT(('Weekly Performance'!B2:B79&gt;="2026-01-05")*('Weekly Performance'!C2:C79&lt;="2026-01-31")*('Weekly Performance'!D2:D79="Influencer Amplification")*'Weekly Performance'!H2:H79)</f>
        <v>0</v>
      </c>
      <c r="F7" s="7" t="n">
        <f aca="false">SUMPRODUCT(('Weekly Performance'!B2:B79&gt;="2026-01-05")*('Weekly Performance'!C2:C79&lt;="2026-01-31")*('Weekly Performance'!D2:D79="Influencer Amplification")*'Weekly Performance'!I2:I79)</f>
        <v>0</v>
      </c>
      <c r="G7" s="7" t="n">
        <f aca="false">SUMPRODUCT(('Weekly Performance'!B2:B79&gt;="2026-01-05")*('Weekly Performance'!C2:C79&lt;="2026-01-31")*('Weekly Performance'!D2:D79="Influencer Amplification")*'Weekly Performance'!J2:J79)</f>
        <v>0</v>
      </c>
      <c r="H7" s="11" t="str">
        <f aca="false">IF(C7=0,"-",G7/C7)</f>
        <v>-</v>
      </c>
      <c r="I7" s="12" t="str">
        <f aca="false">IF(F7=0,"-",C7/F7)</f>
        <v>-</v>
      </c>
      <c r="J7" s="13" t="str">
        <f aca="false">IF(D7=0,"-",E7/D7)</f>
        <v>-</v>
      </c>
      <c r="K7" s="13" t="str">
        <f aca="false">IF(E7=0,"-",F7/E7)</f>
        <v>-</v>
      </c>
    </row>
    <row r="8" customFormat="false" ht="15" hidden="false" customHeight="false" outlineLevel="0" collapsed="false">
      <c r="A8" s="2" t="s">
        <v>38</v>
      </c>
      <c r="B8" s="2" t="s">
        <v>11</v>
      </c>
      <c r="C8" s="4" t="n">
        <f aca="false">SUMPRODUCT(('Weekly Performance'!B2:B79&gt;="2026-02-01")*('Weekly Performance'!C2:C79&lt;="2026-02-28")*('Weekly Performance'!D2:D79="Brand - Search")*'Weekly Performance'!F2:F79)</f>
        <v>0</v>
      </c>
      <c r="D8" s="4" t="n">
        <f aca="false">SUMPRODUCT(('Weekly Performance'!B2:B79&gt;="2026-02-01")*('Weekly Performance'!C2:C79&lt;="2026-02-28")*('Weekly Performance'!D2:D79="Brand - Search")*'Weekly Performance'!G2:G79)</f>
        <v>0</v>
      </c>
      <c r="E8" s="4" t="n">
        <f aca="false">SUMPRODUCT(('Weekly Performance'!B2:B79&gt;="2026-02-01")*('Weekly Performance'!C2:C79&lt;="2026-02-28")*('Weekly Performance'!D2:D79="Brand - Search")*'Weekly Performance'!H2:H79)</f>
        <v>0</v>
      </c>
      <c r="F8" s="4" t="n">
        <f aca="false">SUMPRODUCT(('Weekly Performance'!B2:B79&gt;="2026-02-01")*('Weekly Performance'!C2:C79&lt;="2026-02-28")*('Weekly Performance'!D2:D79="Brand - Search")*'Weekly Performance'!I2:I79)</f>
        <v>0</v>
      </c>
      <c r="G8" s="4" t="n">
        <f aca="false">SUMPRODUCT(('Weekly Performance'!B2:B79&gt;="2026-02-01")*('Weekly Performance'!C2:C79&lt;="2026-02-28")*('Weekly Performance'!D2:D79="Brand - Search")*'Weekly Performance'!J2:J79)</f>
        <v>0</v>
      </c>
      <c r="H8" s="8" t="str">
        <f aca="false">IF(C8=0,"-",G8/C8)</f>
        <v>-</v>
      </c>
      <c r="I8" s="9" t="str">
        <f aca="false">IF(F8=0,"-",C8/F8)</f>
        <v>-</v>
      </c>
      <c r="J8" s="10" t="str">
        <f aca="false">IF(D8=0,"-",E8/D8)</f>
        <v>-</v>
      </c>
      <c r="K8" s="10" t="str">
        <f aca="false">IF(E8=0,"-",F8/E8)</f>
        <v>-</v>
      </c>
    </row>
    <row r="9" customFormat="false" ht="15" hidden="false" customHeight="false" outlineLevel="0" collapsed="false">
      <c r="A9" s="5" t="s">
        <v>38</v>
      </c>
      <c r="B9" s="5" t="s">
        <v>13</v>
      </c>
      <c r="C9" s="7" t="n">
        <f aca="false">SUMPRODUCT(('Weekly Performance'!B2:B79&gt;="2026-02-01")*('Weekly Performance'!C2:C79&lt;="2026-02-28")*('Weekly Performance'!D2:D79="Social - Instagram")*'Weekly Performance'!F2:F79)</f>
        <v>0</v>
      </c>
      <c r="D9" s="7" t="n">
        <f aca="false">SUMPRODUCT(('Weekly Performance'!B2:B79&gt;="2026-02-01")*('Weekly Performance'!C2:C79&lt;="2026-02-28")*('Weekly Performance'!D2:D79="Social - Instagram")*'Weekly Performance'!G2:G79)</f>
        <v>0</v>
      </c>
      <c r="E9" s="7" t="n">
        <f aca="false">SUMPRODUCT(('Weekly Performance'!B2:B79&gt;="2026-02-01")*('Weekly Performance'!C2:C79&lt;="2026-02-28")*('Weekly Performance'!D2:D79="Social - Instagram")*'Weekly Performance'!H2:H79)</f>
        <v>0</v>
      </c>
      <c r="F9" s="7" t="n">
        <f aca="false">SUMPRODUCT(('Weekly Performance'!B2:B79&gt;="2026-02-01")*('Weekly Performance'!C2:C79&lt;="2026-02-28")*('Weekly Performance'!D2:D79="Social - Instagram")*'Weekly Performance'!I2:I79)</f>
        <v>0</v>
      </c>
      <c r="G9" s="7" t="n">
        <f aca="false">SUMPRODUCT(('Weekly Performance'!B2:B79&gt;="2026-02-01")*('Weekly Performance'!C2:C79&lt;="2026-02-28")*('Weekly Performance'!D2:D79="Social - Instagram")*'Weekly Performance'!J2:J79)</f>
        <v>0</v>
      </c>
      <c r="H9" s="11" t="str">
        <f aca="false">IF(C9=0,"-",G9/C9)</f>
        <v>-</v>
      </c>
      <c r="I9" s="12" t="str">
        <f aca="false">IF(F9=0,"-",C9/F9)</f>
        <v>-</v>
      </c>
      <c r="J9" s="13" t="str">
        <f aca="false">IF(D9=0,"-",E9/D9)</f>
        <v>-</v>
      </c>
      <c r="K9" s="13" t="str">
        <f aca="false">IF(E9=0,"-",F9/E9)</f>
        <v>-</v>
      </c>
    </row>
    <row r="10" customFormat="false" ht="15" hidden="false" customHeight="false" outlineLevel="0" collapsed="false">
      <c r="A10" s="2" t="s">
        <v>38</v>
      </c>
      <c r="B10" s="2" t="s">
        <v>15</v>
      </c>
      <c r="C10" s="4" t="n">
        <f aca="false">SUMPRODUCT(('Weekly Performance'!B2:B79&gt;="2026-02-01")*('Weekly Performance'!C2:C79&lt;="2026-02-28")*('Weekly Performance'!D2:D79="Social - TikTok")*'Weekly Performance'!F2:F79)</f>
        <v>0</v>
      </c>
      <c r="D10" s="4" t="n">
        <f aca="false">SUMPRODUCT(('Weekly Performance'!B2:B79&gt;="2026-02-01")*('Weekly Performance'!C2:C79&lt;="2026-02-28")*('Weekly Performance'!D2:D79="Social - TikTok")*'Weekly Performance'!G2:G79)</f>
        <v>0</v>
      </c>
      <c r="E10" s="4" t="n">
        <f aca="false">SUMPRODUCT(('Weekly Performance'!B2:B79&gt;="2026-02-01")*('Weekly Performance'!C2:C79&lt;="2026-02-28")*('Weekly Performance'!D2:D79="Social - TikTok")*'Weekly Performance'!H2:H79)</f>
        <v>0</v>
      </c>
      <c r="F10" s="4" t="n">
        <f aca="false">SUMPRODUCT(('Weekly Performance'!B2:B79&gt;="2026-02-01")*('Weekly Performance'!C2:C79&lt;="2026-02-28")*('Weekly Performance'!D2:D79="Social - TikTok")*'Weekly Performance'!I2:I79)</f>
        <v>0</v>
      </c>
      <c r="G10" s="4" t="n">
        <f aca="false">SUMPRODUCT(('Weekly Performance'!B2:B79&gt;="2026-02-01")*('Weekly Performance'!C2:C79&lt;="2026-02-28")*('Weekly Performance'!D2:D79="Social - TikTok")*'Weekly Performance'!J2:J79)</f>
        <v>0</v>
      </c>
      <c r="H10" s="8" t="str">
        <f aca="false">IF(C10=0,"-",G10/C10)</f>
        <v>-</v>
      </c>
      <c r="I10" s="9" t="str">
        <f aca="false">IF(F10=0,"-",C10/F10)</f>
        <v>-</v>
      </c>
      <c r="J10" s="10" t="str">
        <f aca="false">IF(D10=0,"-",E10/D10)</f>
        <v>-</v>
      </c>
      <c r="K10" s="10" t="str">
        <f aca="false">IF(E10=0,"-",F10/E10)</f>
        <v>-</v>
      </c>
    </row>
    <row r="11" customFormat="false" ht="15" hidden="false" customHeight="false" outlineLevel="0" collapsed="false">
      <c r="A11" s="5" t="s">
        <v>38</v>
      </c>
      <c r="B11" s="5" t="s">
        <v>17</v>
      </c>
      <c r="C11" s="7" t="n">
        <f aca="false">SUMPRODUCT(('Weekly Performance'!B2:B79&gt;="2026-02-01")*('Weekly Performance'!C2:C79&lt;="2026-02-28")*('Weekly Performance'!D2:D79="Retargeting - Meta")*'Weekly Performance'!F2:F79)</f>
        <v>0</v>
      </c>
      <c r="D11" s="7" t="n">
        <f aca="false">SUMPRODUCT(('Weekly Performance'!B2:B79&gt;="2026-02-01")*('Weekly Performance'!C2:C79&lt;="2026-02-28")*('Weekly Performance'!D2:D79="Retargeting - Meta")*'Weekly Performance'!G2:G79)</f>
        <v>0</v>
      </c>
      <c r="E11" s="7" t="n">
        <f aca="false">SUMPRODUCT(('Weekly Performance'!B2:B79&gt;="2026-02-01")*('Weekly Performance'!C2:C79&lt;="2026-02-28")*('Weekly Performance'!D2:D79="Retargeting - Meta")*'Weekly Performance'!H2:H79)</f>
        <v>0</v>
      </c>
      <c r="F11" s="7" t="n">
        <f aca="false">SUMPRODUCT(('Weekly Performance'!B2:B79&gt;="2026-02-01")*('Weekly Performance'!C2:C79&lt;="2026-02-28")*('Weekly Performance'!D2:D79="Retargeting - Meta")*'Weekly Performance'!I2:I79)</f>
        <v>0</v>
      </c>
      <c r="G11" s="7" t="n">
        <f aca="false">SUMPRODUCT(('Weekly Performance'!B2:B79&gt;="2026-02-01")*('Weekly Performance'!C2:C79&lt;="2026-02-28")*('Weekly Performance'!D2:D79="Retargeting - Meta")*'Weekly Performance'!J2:J79)</f>
        <v>0</v>
      </c>
      <c r="H11" s="11" t="str">
        <f aca="false">IF(C11=0,"-",G11/C11)</f>
        <v>-</v>
      </c>
      <c r="I11" s="12" t="str">
        <f aca="false">IF(F11=0,"-",C11/F11)</f>
        <v>-</v>
      </c>
      <c r="J11" s="13" t="str">
        <f aca="false">IF(D11=0,"-",E11/D11)</f>
        <v>-</v>
      </c>
      <c r="K11" s="13" t="str">
        <f aca="false">IF(E11=0,"-",F11/E11)</f>
        <v>-</v>
      </c>
    </row>
    <row r="12" customFormat="false" ht="15" hidden="false" customHeight="false" outlineLevel="0" collapsed="false">
      <c r="A12" s="2" t="s">
        <v>38</v>
      </c>
      <c r="B12" s="2" t="s">
        <v>18</v>
      </c>
      <c r="C12" s="4" t="n">
        <f aca="false">SUMPRODUCT(('Weekly Performance'!B2:B79&gt;="2026-02-01")*('Weekly Performance'!C2:C79&lt;="2026-02-28")*('Weekly Performance'!D2:D79="Shopping - Google")*'Weekly Performance'!F2:F79)</f>
        <v>0</v>
      </c>
      <c r="D12" s="4" t="n">
        <f aca="false">SUMPRODUCT(('Weekly Performance'!B2:B79&gt;="2026-02-01")*('Weekly Performance'!C2:C79&lt;="2026-02-28")*('Weekly Performance'!D2:D79="Shopping - Google")*'Weekly Performance'!G2:G79)</f>
        <v>0</v>
      </c>
      <c r="E12" s="4" t="n">
        <f aca="false">SUMPRODUCT(('Weekly Performance'!B2:B79&gt;="2026-02-01")*('Weekly Performance'!C2:C79&lt;="2026-02-28")*('Weekly Performance'!D2:D79="Shopping - Google")*'Weekly Performance'!H2:H79)</f>
        <v>0</v>
      </c>
      <c r="F12" s="4" t="n">
        <f aca="false">SUMPRODUCT(('Weekly Performance'!B2:B79&gt;="2026-02-01")*('Weekly Performance'!C2:C79&lt;="2026-02-28")*('Weekly Performance'!D2:D79="Shopping - Google")*'Weekly Performance'!I2:I79)</f>
        <v>0</v>
      </c>
      <c r="G12" s="4" t="n">
        <f aca="false">SUMPRODUCT(('Weekly Performance'!B2:B79&gt;="2026-02-01")*('Weekly Performance'!C2:C79&lt;="2026-02-28")*('Weekly Performance'!D2:D79="Shopping - Google")*'Weekly Performance'!J2:J79)</f>
        <v>0</v>
      </c>
      <c r="H12" s="8" t="str">
        <f aca="false">IF(C12=0,"-",G12/C12)</f>
        <v>-</v>
      </c>
      <c r="I12" s="9" t="str">
        <f aca="false">IF(F12=0,"-",C12/F12)</f>
        <v>-</v>
      </c>
      <c r="J12" s="10" t="str">
        <f aca="false">IF(D12=0,"-",E12/D12)</f>
        <v>-</v>
      </c>
      <c r="K12" s="10" t="str">
        <f aca="false">IF(E12=0,"-",F12/E12)</f>
        <v>-</v>
      </c>
    </row>
    <row r="13" customFormat="false" ht="15" hidden="false" customHeight="false" outlineLevel="0" collapsed="false">
      <c r="A13" s="5" t="s">
        <v>38</v>
      </c>
      <c r="B13" s="5" t="s">
        <v>19</v>
      </c>
      <c r="C13" s="7" t="n">
        <f aca="false">SUMPRODUCT(('Weekly Performance'!B2:B79&gt;="2026-02-01")*('Weekly Performance'!C2:C79&lt;="2026-02-28")*('Weekly Performance'!D2:D79="Influencer Amplification")*'Weekly Performance'!F2:F79)</f>
        <v>0</v>
      </c>
      <c r="D13" s="7" t="n">
        <f aca="false">SUMPRODUCT(('Weekly Performance'!B2:B79&gt;="2026-02-01")*('Weekly Performance'!C2:C79&lt;="2026-02-28")*('Weekly Performance'!D2:D79="Influencer Amplification")*'Weekly Performance'!G2:G79)</f>
        <v>0</v>
      </c>
      <c r="E13" s="7" t="n">
        <f aca="false">SUMPRODUCT(('Weekly Performance'!B2:B79&gt;="2026-02-01")*('Weekly Performance'!C2:C79&lt;="2026-02-28")*('Weekly Performance'!D2:D79="Influencer Amplification")*'Weekly Performance'!H2:H79)</f>
        <v>0</v>
      </c>
      <c r="F13" s="7" t="n">
        <f aca="false">SUMPRODUCT(('Weekly Performance'!B2:B79&gt;="2026-02-01")*('Weekly Performance'!C2:C79&lt;="2026-02-28")*('Weekly Performance'!D2:D79="Influencer Amplification")*'Weekly Performance'!I2:I79)</f>
        <v>0</v>
      </c>
      <c r="G13" s="7" t="n">
        <f aca="false">SUMPRODUCT(('Weekly Performance'!B2:B79&gt;="2026-02-01")*('Weekly Performance'!C2:C79&lt;="2026-02-28")*('Weekly Performance'!D2:D79="Influencer Amplification")*'Weekly Performance'!J2:J79)</f>
        <v>0</v>
      </c>
      <c r="H13" s="11" t="str">
        <f aca="false">IF(C13=0,"-",G13/C13)</f>
        <v>-</v>
      </c>
      <c r="I13" s="12" t="str">
        <f aca="false">IF(F13=0,"-",C13/F13)</f>
        <v>-</v>
      </c>
      <c r="J13" s="13" t="str">
        <f aca="false">IF(D13=0,"-",E13/D13)</f>
        <v>-</v>
      </c>
      <c r="K13" s="13" t="str">
        <f aca="false">IF(E13=0,"-",F13/E13)</f>
        <v>-</v>
      </c>
    </row>
    <row r="14" customFormat="false" ht="15" hidden="false" customHeight="false" outlineLevel="0" collapsed="false">
      <c r="A14" s="2" t="s">
        <v>39</v>
      </c>
      <c r="B14" s="2" t="s">
        <v>11</v>
      </c>
      <c r="C14" s="4" t="n">
        <f aca="false">SUMPRODUCT(('Weekly Performance'!B2:B79&gt;="2026-03-01")*('Weekly Performance'!C2:C79&lt;="2026-03-29")*('Weekly Performance'!D2:D79="Brand - Search")*'Weekly Performance'!F2:F79)</f>
        <v>0</v>
      </c>
      <c r="D14" s="4" t="n">
        <f aca="false">SUMPRODUCT(('Weekly Performance'!B2:B79&gt;="2026-03-01")*('Weekly Performance'!C2:C79&lt;="2026-03-29")*('Weekly Performance'!D2:D79="Brand - Search")*'Weekly Performance'!G2:G79)</f>
        <v>0</v>
      </c>
      <c r="E14" s="4" t="n">
        <f aca="false">SUMPRODUCT(('Weekly Performance'!B2:B79&gt;="2026-03-01")*('Weekly Performance'!C2:C79&lt;="2026-03-29")*('Weekly Performance'!D2:D79="Brand - Search")*'Weekly Performance'!H2:H79)</f>
        <v>0</v>
      </c>
      <c r="F14" s="4" t="n">
        <f aca="false">SUMPRODUCT(('Weekly Performance'!B2:B79&gt;="2026-03-01")*('Weekly Performance'!C2:C79&lt;="2026-03-29")*('Weekly Performance'!D2:D79="Brand - Search")*'Weekly Performance'!I2:I79)</f>
        <v>0</v>
      </c>
      <c r="G14" s="4" t="n">
        <f aca="false">SUMPRODUCT(('Weekly Performance'!B2:B79&gt;="2026-03-01")*('Weekly Performance'!C2:C79&lt;="2026-03-29")*('Weekly Performance'!D2:D79="Brand - Search")*'Weekly Performance'!J2:J79)</f>
        <v>0</v>
      </c>
      <c r="H14" s="8" t="str">
        <f aca="false">IF(C14=0,"-",G14/C14)</f>
        <v>-</v>
      </c>
      <c r="I14" s="9" t="str">
        <f aca="false">IF(F14=0,"-",C14/F14)</f>
        <v>-</v>
      </c>
      <c r="J14" s="10" t="str">
        <f aca="false">IF(D14=0,"-",E14/D14)</f>
        <v>-</v>
      </c>
      <c r="K14" s="10" t="str">
        <f aca="false">IF(E14=0,"-",F14/E14)</f>
        <v>-</v>
      </c>
    </row>
    <row r="15" customFormat="false" ht="15" hidden="false" customHeight="false" outlineLevel="0" collapsed="false">
      <c r="A15" s="5" t="s">
        <v>39</v>
      </c>
      <c r="B15" s="5" t="s">
        <v>13</v>
      </c>
      <c r="C15" s="7" t="n">
        <f aca="false">SUMPRODUCT(('Weekly Performance'!B2:B79&gt;="2026-03-01")*('Weekly Performance'!C2:C79&lt;="2026-03-29")*('Weekly Performance'!D2:D79="Social - Instagram")*'Weekly Performance'!F2:F79)</f>
        <v>0</v>
      </c>
      <c r="D15" s="7" t="n">
        <f aca="false">SUMPRODUCT(('Weekly Performance'!B2:B79&gt;="2026-03-01")*('Weekly Performance'!C2:C79&lt;="2026-03-29")*('Weekly Performance'!D2:D79="Social - Instagram")*'Weekly Performance'!G2:G79)</f>
        <v>0</v>
      </c>
      <c r="E15" s="7" t="n">
        <f aca="false">SUMPRODUCT(('Weekly Performance'!B2:B79&gt;="2026-03-01")*('Weekly Performance'!C2:C79&lt;="2026-03-29")*('Weekly Performance'!D2:D79="Social - Instagram")*'Weekly Performance'!H2:H79)</f>
        <v>0</v>
      </c>
      <c r="F15" s="7" t="n">
        <f aca="false">SUMPRODUCT(('Weekly Performance'!B2:B79&gt;="2026-03-01")*('Weekly Performance'!C2:C79&lt;="2026-03-29")*('Weekly Performance'!D2:D79="Social - Instagram")*'Weekly Performance'!I2:I79)</f>
        <v>0</v>
      </c>
      <c r="G15" s="7" t="n">
        <f aca="false">SUMPRODUCT(('Weekly Performance'!B2:B79&gt;="2026-03-01")*('Weekly Performance'!C2:C79&lt;="2026-03-29")*('Weekly Performance'!D2:D79="Social - Instagram")*'Weekly Performance'!J2:J79)</f>
        <v>0</v>
      </c>
      <c r="H15" s="11" t="str">
        <f aca="false">IF(C15=0,"-",G15/C15)</f>
        <v>-</v>
      </c>
      <c r="I15" s="12" t="str">
        <f aca="false">IF(F15=0,"-",C15/F15)</f>
        <v>-</v>
      </c>
      <c r="J15" s="13" t="str">
        <f aca="false">IF(D15=0,"-",E15/D15)</f>
        <v>-</v>
      </c>
      <c r="K15" s="13" t="str">
        <f aca="false">IF(E15=0,"-",F15/E15)</f>
        <v>-</v>
      </c>
    </row>
    <row r="16" customFormat="false" ht="15" hidden="false" customHeight="false" outlineLevel="0" collapsed="false">
      <c r="A16" s="2" t="s">
        <v>39</v>
      </c>
      <c r="B16" s="2" t="s">
        <v>15</v>
      </c>
      <c r="C16" s="4" t="n">
        <f aca="false">SUMPRODUCT(('Weekly Performance'!B2:B79&gt;="2026-03-01")*('Weekly Performance'!C2:C79&lt;="2026-03-29")*('Weekly Performance'!D2:D79="Social - TikTok")*'Weekly Performance'!F2:F79)</f>
        <v>0</v>
      </c>
      <c r="D16" s="4" t="n">
        <f aca="false">SUMPRODUCT(('Weekly Performance'!B2:B79&gt;="2026-03-01")*('Weekly Performance'!C2:C79&lt;="2026-03-29")*('Weekly Performance'!D2:D79="Social - TikTok")*'Weekly Performance'!G2:G79)</f>
        <v>0</v>
      </c>
      <c r="E16" s="4" t="n">
        <f aca="false">SUMPRODUCT(('Weekly Performance'!B2:B79&gt;="2026-03-01")*('Weekly Performance'!C2:C79&lt;="2026-03-29")*('Weekly Performance'!D2:D79="Social - TikTok")*'Weekly Performance'!H2:H79)</f>
        <v>0</v>
      </c>
      <c r="F16" s="4" t="n">
        <f aca="false">SUMPRODUCT(('Weekly Performance'!B2:B79&gt;="2026-03-01")*('Weekly Performance'!C2:C79&lt;="2026-03-29")*('Weekly Performance'!D2:D79="Social - TikTok")*'Weekly Performance'!I2:I79)</f>
        <v>0</v>
      </c>
      <c r="G16" s="4" t="n">
        <f aca="false">SUMPRODUCT(('Weekly Performance'!B2:B79&gt;="2026-03-01")*('Weekly Performance'!C2:C79&lt;="2026-03-29")*('Weekly Performance'!D2:D79="Social - TikTok")*'Weekly Performance'!J2:J79)</f>
        <v>0</v>
      </c>
      <c r="H16" s="8" t="str">
        <f aca="false">IF(C16=0,"-",G16/C16)</f>
        <v>-</v>
      </c>
      <c r="I16" s="9" t="str">
        <f aca="false">IF(F16=0,"-",C16/F16)</f>
        <v>-</v>
      </c>
      <c r="J16" s="10" t="str">
        <f aca="false">IF(D16=0,"-",E16/D16)</f>
        <v>-</v>
      </c>
      <c r="K16" s="10" t="str">
        <f aca="false">IF(E16=0,"-",F16/E16)</f>
        <v>-</v>
      </c>
    </row>
    <row r="17" customFormat="false" ht="15" hidden="false" customHeight="false" outlineLevel="0" collapsed="false">
      <c r="A17" s="5" t="s">
        <v>39</v>
      </c>
      <c r="B17" s="5" t="s">
        <v>17</v>
      </c>
      <c r="C17" s="7" t="n">
        <f aca="false">SUMPRODUCT(('Weekly Performance'!B2:B79&gt;="2026-03-01")*('Weekly Performance'!C2:C79&lt;="2026-03-29")*('Weekly Performance'!D2:D79="Retargeting - Meta")*'Weekly Performance'!F2:F79)</f>
        <v>0</v>
      </c>
      <c r="D17" s="7" t="n">
        <f aca="false">SUMPRODUCT(('Weekly Performance'!B2:B79&gt;="2026-03-01")*('Weekly Performance'!C2:C79&lt;="2026-03-29")*('Weekly Performance'!D2:D79="Retargeting - Meta")*'Weekly Performance'!G2:G79)</f>
        <v>0</v>
      </c>
      <c r="E17" s="7" t="n">
        <f aca="false">SUMPRODUCT(('Weekly Performance'!B2:B79&gt;="2026-03-01")*('Weekly Performance'!C2:C79&lt;="2026-03-29")*('Weekly Performance'!D2:D79="Retargeting - Meta")*'Weekly Performance'!H2:H79)</f>
        <v>0</v>
      </c>
      <c r="F17" s="7" t="n">
        <f aca="false">SUMPRODUCT(('Weekly Performance'!B2:B79&gt;="2026-03-01")*('Weekly Performance'!C2:C79&lt;="2026-03-29")*('Weekly Performance'!D2:D79="Retargeting - Meta")*'Weekly Performance'!I2:I79)</f>
        <v>0</v>
      </c>
      <c r="G17" s="7" t="n">
        <f aca="false">SUMPRODUCT(('Weekly Performance'!B2:B79&gt;="2026-03-01")*('Weekly Performance'!C2:C79&lt;="2026-03-29")*('Weekly Performance'!D2:D79="Retargeting - Meta")*'Weekly Performance'!J2:J79)</f>
        <v>0</v>
      </c>
      <c r="H17" s="11" t="str">
        <f aca="false">IF(C17=0,"-",G17/C17)</f>
        <v>-</v>
      </c>
      <c r="I17" s="12" t="str">
        <f aca="false">IF(F17=0,"-",C17/F17)</f>
        <v>-</v>
      </c>
      <c r="J17" s="13" t="str">
        <f aca="false">IF(D17=0,"-",E17/D17)</f>
        <v>-</v>
      </c>
      <c r="K17" s="13" t="str">
        <f aca="false">IF(E17=0,"-",F17/E17)</f>
        <v>-</v>
      </c>
    </row>
    <row r="18" customFormat="false" ht="15" hidden="false" customHeight="false" outlineLevel="0" collapsed="false">
      <c r="A18" s="2" t="s">
        <v>39</v>
      </c>
      <c r="B18" s="2" t="s">
        <v>18</v>
      </c>
      <c r="C18" s="4" t="n">
        <f aca="false">SUMPRODUCT(('Weekly Performance'!B2:B79&gt;="2026-03-01")*('Weekly Performance'!C2:C79&lt;="2026-03-29")*('Weekly Performance'!D2:D79="Shopping - Google")*'Weekly Performance'!F2:F79)</f>
        <v>0</v>
      </c>
      <c r="D18" s="4" t="n">
        <f aca="false">SUMPRODUCT(('Weekly Performance'!B2:B79&gt;="2026-03-01")*('Weekly Performance'!C2:C79&lt;="2026-03-29")*('Weekly Performance'!D2:D79="Shopping - Google")*'Weekly Performance'!G2:G79)</f>
        <v>0</v>
      </c>
      <c r="E18" s="4" t="n">
        <f aca="false">SUMPRODUCT(('Weekly Performance'!B2:B79&gt;="2026-03-01")*('Weekly Performance'!C2:C79&lt;="2026-03-29")*('Weekly Performance'!D2:D79="Shopping - Google")*'Weekly Performance'!H2:H79)</f>
        <v>0</v>
      </c>
      <c r="F18" s="4" t="n">
        <f aca="false">SUMPRODUCT(('Weekly Performance'!B2:B79&gt;="2026-03-01")*('Weekly Performance'!C2:C79&lt;="2026-03-29")*('Weekly Performance'!D2:D79="Shopping - Google")*'Weekly Performance'!I2:I79)</f>
        <v>0</v>
      </c>
      <c r="G18" s="4" t="n">
        <f aca="false">SUMPRODUCT(('Weekly Performance'!B2:B79&gt;="2026-03-01")*('Weekly Performance'!C2:C79&lt;="2026-03-29")*('Weekly Performance'!D2:D79="Shopping - Google")*'Weekly Performance'!J2:J79)</f>
        <v>0</v>
      </c>
      <c r="H18" s="8" t="str">
        <f aca="false">IF(C18=0,"-",G18/C18)</f>
        <v>-</v>
      </c>
      <c r="I18" s="9" t="str">
        <f aca="false">IF(F18=0,"-",C18/F18)</f>
        <v>-</v>
      </c>
      <c r="J18" s="10" t="str">
        <f aca="false">IF(D18=0,"-",E18/D18)</f>
        <v>-</v>
      </c>
      <c r="K18" s="10" t="str">
        <f aca="false">IF(E18=0,"-",F18/E18)</f>
        <v>-</v>
      </c>
    </row>
    <row r="19" customFormat="false" ht="15" hidden="false" customHeight="false" outlineLevel="0" collapsed="false">
      <c r="A19" s="5" t="s">
        <v>39</v>
      </c>
      <c r="B19" s="5" t="s">
        <v>19</v>
      </c>
      <c r="C19" s="7" t="n">
        <f aca="false">SUMPRODUCT(('Weekly Performance'!B2:B79&gt;="2026-03-01")*('Weekly Performance'!C2:C79&lt;="2026-03-29")*('Weekly Performance'!D2:D79="Influencer Amplification")*'Weekly Performance'!F2:F79)</f>
        <v>0</v>
      </c>
      <c r="D19" s="7" t="n">
        <f aca="false">SUMPRODUCT(('Weekly Performance'!B2:B79&gt;="2026-03-01")*('Weekly Performance'!C2:C79&lt;="2026-03-29")*('Weekly Performance'!D2:D79="Influencer Amplification")*'Weekly Performance'!G2:G79)</f>
        <v>0</v>
      </c>
      <c r="E19" s="7" t="n">
        <f aca="false">SUMPRODUCT(('Weekly Performance'!B2:B79&gt;="2026-03-01")*('Weekly Performance'!C2:C79&lt;="2026-03-29")*('Weekly Performance'!D2:D79="Influencer Amplification")*'Weekly Performance'!H2:H79)</f>
        <v>0</v>
      </c>
      <c r="F19" s="7" t="n">
        <f aca="false">SUMPRODUCT(('Weekly Performance'!B2:B79&gt;="2026-03-01")*('Weekly Performance'!C2:C79&lt;="2026-03-29")*('Weekly Performance'!D2:D79="Influencer Amplification")*'Weekly Performance'!I2:I79)</f>
        <v>0</v>
      </c>
      <c r="G19" s="7" t="n">
        <f aca="false">SUMPRODUCT(('Weekly Performance'!B2:B79&gt;="2026-03-01")*('Weekly Performance'!C2:C79&lt;="2026-03-29")*('Weekly Performance'!D2:D79="Influencer Amplification")*'Weekly Performance'!J2:J79)</f>
        <v>0</v>
      </c>
      <c r="H19" s="11" t="str">
        <f aca="false">IF(C19=0,"-",G19/C19)</f>
        <v>-</v>
      </c>
      <c r="I19" s="12" t="str">
        <f aca="false">IF(F19=0,"-",C19/F19)</f>
        <v>-</v>
      </c>
      <c r="J19" s="13" t="str">
        <f aca="false">IF(D19=0,"-",E19/D19)</f>
        <v>-</v>
      </c>
      <c r="K19" s="13" t="str">
        <f aca="false">IF(E19=0,"-",F19/E19)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3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customFormat="false" ht="15" hidden="false" customHeight="false" outlineLevel="0" collapsed="false">
      <c r="A2" s="2" t="s">
        <v>11</v>
      </c>
      <c r="B2" s="4" t="n">
        <v>4200</v>
      </c>
      <c r="C2" s="2" t="s">
        <v>45</v>
      </c>
      <c r="D2" s="2" t="s">
        <v>46</v>
      </c>
      <c r="E2" s="2" t="s">
        <v>47</v>
      </c>
      <c r="F2" s="2" t="s">
        <v>48</v>
      </c>
    </row>
    <row r="3" customFormat="false" ht="15" hidden="false" customHeight="false" outlineLevel="0" collapsed="false">
      <c r="A3" s="5" t="s">
        <v>13</v>
      </c>
      <c r="B3" s="7" t="n">
        <v>6200</v>
      </c>
      <c r="C3" s="5" t="s">
        <v>49</v>
      </c>
      <c r="D3" s="5" t="s">
        <v>46</v>
      </c>
      <c r="E3" s="5" t="s">
        <v>50</v>
      </c>
      <c r="F3" s="5" t="s">
        <v>51</v>
      </c>
    </row>
    <row r="4" customFormat="false" ht="15" hidden="false" customHeight="false" outlineLevel="0" collapsed="false">
      <c r="A4" s="2" t="s">
        <v>15</v>
      </c>
      <c r="B4" s="4" t="n">
        <v>3100</v>
      </c>
      <c r="C4" s="2" t="s">
        <v>52</v>
      </c>
      <c r="D4" s="2" t="s">
        <v>53</v>
      </c>
      <c r="E4" s="2" t="s">
        <v>54</v>
      </c>
      <c r="F4" s="2" t="s">
        <v>55</v>
      </c>
    </row>
    <row r="5" customFormat="false" ht="15" hidden="false" customHeight="false" outlineLevel="0" collapsed="false">
      <c r="A5" s="5" t="s">
        <v>17</v>
      </c>
      <c r="B5" s="7" t="n">
        <v>2600</v>
      </c>
      <c r="C5" s="5" t="s">
        <v>45</v>
      </c>
      <c r="D5" s="5" t="s">
        <v>56</v>
      </c>
      <c r="E5" s="5" t="s">
        <v>57</v>
      </c>
      <c r="F5" s="5" t="s">
        <v>58</v>
      </c>
    </row>
    <row r="6" customFormat="false" ht="15" hidden="false" customHeight="false" outlineLevel="0" collapsed="false">
      <c r="A6" s="2" t="s">
        <v>18</v>
      </c>
      <c r="B6" s="4" t="n">
        <v>5200</v>
      </c>
      <c r="C6" s="2" t="s">
        <v>45</v>
      </c>
      <c r="D6" s="2" t="s">
        <v>59</v>
      </c>
      <c r="E6" s="2" t="s">
        <v>60</v>
      </c>
      <c r="F6" s="2" t="s">
        <v>61</v>
      </c>
    </row>
    <row r="7" customFormat="false" ht="15" hidden="false" customHeight="false" outlineLevel="0" collapsed="false">
      <c r="A7" s="5" t="s">
        <v>19</v>
      </c>
      <c r="B7" s="7" t="n">
        <v>2200</v>
      </c>
      <c r="C7" s="5" t="s">
        <v>62</v>
      </c>
      <c r="D7" s="5" t="s">
        <v>63</v>
      </c>
      <c r="E7" s="5" t="s">
        <v>64</v>
      </c>
      <c r="F7" s="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2026-03-25T13:24:02Z</dcterms:created>
  <dc:creator>openpyxl</dc:creator>
  <dc:description/>
  <dc:language>en-US</dc:language>
  <cp:lastModifiedBy/>
  <dcterms:modified xsi:type="dcterms:W3CDTF">2026-03-25T13:24:02Z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